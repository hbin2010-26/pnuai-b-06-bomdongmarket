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비용구성" sheetId="2" state="visible" r:id="rId2"/>
    <sheet xmlns:r="http://schemas.openxmlformats.org/officeDocument/2006/relationships" name="계산상세" sheetId="3" state="visible" r:id="rId3"/>
    <sheet xmlns:r="http://schemas.openxmlformats.org/officeDocument/2006/relationships" name="월별전력량" sheetId="4" state="visible" r:id="rId4"/>
    <sheet xmlns:r="http://schemas.openxmlformats.org/officeDocument/2006/relationships" name="입력기준" sheetId="5" state="visible" r:id="rId5"/>
    <sheet xmlns:r="http://schemas.openxmlformats.org/officeDocument/2006/relationships" name="검증" sheetId="6" state="visible" r:id="rId6"/>
  </sheets>
  <definedNames>
    <definedName name="_xlnm._FilterDatabase" localSheetId="0" hidden="1">'요약'!$A$4:$AE$22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;[Red](#,##0.0);-"/>
    <numFmt numFmtId="165" formatCode="#,##0;[Red](#,##0);-"/>
    <numFmt numFmtId="166" formatCode="0.0%"/>
    <numFmt numFmtId="167" formatCode="0.0"/>
    <numFmt numFmtId="168" formatCode="0.00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475569"/>
    </font>
    <font>
      <name val="맑은 고딕"/>
      <b val="1"/>
      <color rgb="00FFFFFF"/>
    </font>
    <font>
      <name val="맑은 고딕"/>
      <sz val="10"/>
    </font>
    <font>
      <name val="맑은 고딕"/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bottom style="medium">
        <color rgb="000B4F4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5" fontId="0" fillId="0" borderId="0" pivotButton="0" quotePrefix="0" xfId="0"/>
    <xf numFmtId="166" fontId="0" fillId="4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4E6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ofitScenarioSummary" displayName="ProfitScenarioSummary" ref="A4:AE22" headerRowCount="1">
  <autoFilter ref="A4:AE22"/>
  <tableColumns count="31">
    <tableColumn id="1" name="시나리오ID"/>
    <tableColumn id="2" name="사업장ID"/>
    <tableColumn id="3" name="사업장명"/>
    <tableColumn id="4" name="작물"/>
    <tableColumn id="5" name="공실 전체면적(m²)"/>
    <tableColumn id="6" name="사용가능 바닥면적(m²)"/>
    <tableColumn id="7" name="재배면적(m²)"/>
    <tableColumn id="8" name="원하는 월세(원)"/>
    <tableColumn id="9" name="월 총생산량(kg)"/>
    <tableColumn id="10" name="월 판매량(kg)"/>
    <tableColumn id="11" name="월 매출(원)"/>
    <tableColumn id="12" name="월평균 전력량(kWh)"/>
    <tableColumn id="13" name="월 전기비(원)"/>
    <tableColumn id="14" name="배액률"/>
    <tableColumn id="15" name="월 작물 순소비량(m³)"/>
    <tableColumn id="16" name="월 배액량(m³)"/>
    <tableColumn id="17" name="월 기타 용수량(m³)"/>
    <tableColumn id="18" name="월 총 용수량(m³)"/>
    <tableColumn id="19" name="월 수도비(원)"/>
    <tableColumn id="20" name="월 재료비(원)"/>
    <tableColumn id="21" name="월 인건비(원)"/>
    <tableColumn id="22" name="월 기기 대여비(원)"/>
    <tableColumn id="23" name="기타비용(원)"/>
    <tableColumn id="24" name="월 운영비(원)"/>
    <tableColumn id="25" name="월 영업이익(원)"/>
    <tableColumn id="26" name="공간 대여자 배분율"/>
    <tableColumn id="27" name="공간 대여자 예상수익(원)"/>
    <tableColumn id="28" name="공실 월세 대비 차이(원)"/>
    <tableColumn id="29" name="사업장 영업이익(원)"/>
    <tableColumn id="30" name="추천 방식"/>
    <tableColumn id="31" name="계약 형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tCostBreakdown" displayName="ProfitCostBreakdown" ref="A4:Q22" headerRowCount="1">
  <autoFilter ref="A4:Q22"/>
  <tableColumns count="17">
    <tableColumn id="1" name="시나리오ID"/>
    <tableColumn id="2" name="사업장"/>
    <tableColumn id="3" name="작물"/>
    <tableColumn id="4" name="월 운영비(원)"/>
    <tableColumn id="5" name="전기비(원)"/>
    <tableColumn id="6" name="전기비 비율"/>
    <tableColumn id="7" name="수도비(원)"/>
    <tableColumn id="8" name="수도비 비율"/>
    <tableColumn id="9" name="재료비(원)"/>
    <tableColumn id="10" name="재료비 비율"/>
    <tableColumn id="11" name="인건비(원)"/>
    <tableColumn id="12" name="인건비 비율"/>
    <tableColumn id="13" name="기기 대여비(원)"/>
    <tableColumn id="14" name="기기 대여비 비율"/>
    <tableColumn id="15" name="기타비용(원)"/>
    <tableColumn id="16" name="기타비용 비율"/>
    <tableColumn id="17" name="비용 비율 합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fitCalculationDetail" displayName="ProfitCalculationDetail" ref="A3:G669" headerRowCount="1">
  <autoFilter ref="A3:G669"/>
  <tableColumns count="7">
    <tableColumn id="1" name="시나리오ID"/>
    <tableColumn id="2" name="사업장"/>
    <tableColumn id="3" name="작물"/>
    <tableColumn id="4" name="계산 블록"/>
    <tableColumn id="5" name="항목"/>
    <tableColumn id="6" name="값"/>
    <tableColumn id="7" name="단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nthlyEnergyDetail" displayName="MonthlyEnergyDetail" ref="A3:L219" headerRowCount="1">
  <autoFilter ref="A3:L219"/>
  <tableColumns count="12">
    <tableColumn id="1" name="시나리오ID"/>
    <tableColumn id="2" name="사업장"/>
    <tableColumn id="3" name="작물"/>
    <tableColumn id="4" name="월"/>
    <tableColumn id="5" name="외기온도(°C)"/>
    <tableColumn id="6" name="외기상대습도"/>
    <tableColumn id="7" name="조명(kWh)"/>
    <tableColumn id="8" name="난방(kWh)"/>
    <tableColumn id="9" name="냉방(kWh)"/>
    <tableColumn id="10" name="제습(kWh)"/>
    <tableColumn id="11" name="가습(kWh)"/>
    <tableColumn id="12" name="총합(kWh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fitInputGuide" displayName="ProfitInputGuide" ref="A3:D21" headerRowCount="1">
  <autoFilter ref="A3:D21"/>
  <tableColumns count="4">
    <tableColumn id="1" name="구분"/>
    <tableColumn id="2" name="항목"/>
    <tableColumn id="3" name="값"/>
    <tableColumn id="4" name="설명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fitModelChecks" displayName="ProfitModelChecks" ref="A4:G58" headerRowCount="1">
  <autoFilter ref="A4:G58"/>
  <tableColumns count="7">
    <tableColumn id="1" name="시나리오ID"/>
    <tableColumn id="2" name="검증 항목"/>
    <tableColumn id="3" name="실제값"/>
    <tableColumn id="4" name="기대값"/>
    <tableColumn id="5" name="차이"/>
    <tableColumn id="6" name="허용오차"/>
    <tableColumn id="7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0" customWidth="1" min="4" max="4"/>
    <col width="26" customWidth="1" min="5" max="5"/>
    <col width="20" customWidth="1" min="6" max="6"/>
    <col width="20" customWidth="1" min="7" max="7"/>
    <col width="11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3" customWidth="1" min="22" max="22"/>
    <col width="10" customWidth="1" min="23" max="23"/>
    <col width="20" customWidth="1" min="24" max="24"/>
    <col width="21" customWidth="1" min="25" max="25"/>
    <col width="12" customWidth="1" min="26" max="26"/>
    <col width="21" customWidth="1" min="27" max="27"/>
    <col width="21" customWidth="1" min="28" max="28"/>
    <col width="21" customWidth="1" min="29" max="29"/>
    <col width="34" customWidth="1" min="30" max="30"/>
    <col width="15" customWidth="1" min="31" max="31"/>
  </cols>
  <sheetData>
    <row r="1" ht="34" customHeight="1">
      <c r="A1" s="1" t="inlineStr">
        <is>
          <t>Profit Calculator 1.0.1 · 3×6 수익성 비교</t>
        </is>
      </c>
    </row>
    <row r="2">
      <c r="A2" s="2" t="inlineStr">
        <is>
          <t>생성 시각</t>
        </is>
      </c>
      <c r="B2" t="inlineStr">
        <is>
          <t>2026-08-23 21:42:44</t>
        </is>
      </c>
      <c r="D2" s="2" t="inlineStr">
        <is>
          <t>분석 기준</t>
        </is>
      </c>
      <c r="E2" t="inlineStr">
        <is>
          <t>3개 공간 × 6개 작물 = 18개 대안 시나리오</t>
        </is>
      </c>
    </row>
    <row r="3"/>
    <row r="4" ht="34" customHeight="1">
      <c r="A4" s="3" t="inlineStr">
        <is>
          <t>시나리오ID</t>
        </is>
      </c>
      <c r="B4" s="3" t="inlineStr">
        <is>
          <t>사업장ID</t>
        </is>
      </c>
      <c r="C4" s="3" t="inlineStr">
        <is>
          <t>사업장명</t>
        </is>
      </c>
      <c r="D4" s="3" t="inlineStr">
        <is>
          <t>작물</t>
        </is>
      </c>
      <c r="E4" s="3" t="inlineStr">
        <is>
          <t>공실 전체면적(m²)</t>
        </is>
      </c>
      <c r="F4" s="3" t="inlineStr">
        <is>
          <t>사용가능 바닥면적(m²)</t>
        </is>
      </c>
      <c r="G4" s="3" t="inlineStr">
        <is>
          <t>재배면적(m²)</t>
        </is>
      </c>
      <c r="H4" s="3" t="inlineStr">
        <is>
          <t>원하는 월세(원)</t>
        </is>
      </c>
      <c r="I4" s="3" t="inlineStr">
        <is>
          <t>월 총생산량(kg)</t>
        </is>
      </c>
      <c r="J4" s="3" t="inlineStr">
        <is>
          <t>월 판매량(kg)</t>
        </is>
      </c>
      <c r="K4" s="3" t="inlineStr">
        <is>
          <t>월 매출(원)</t>
        </is>
      </c>
      <c r="L4" s="3" t="inlineStr">
        <is>
          <t>월평균 전력량(kWh)</t>
        </is>
      </c>
      <c r="M4" s="3" t="inlineStr">
        <is>
          <t>월 전기비(원)</t>
        </is>
      </c>
      <c r="N4" s="3" t="inlineStr">
        <is>
          <t>배액률</t>
        </is>
      </c>
      <c r="O4" s="3" t="inlineStr">
        <is>
          <t>월 작물 순소비량(m³)</t>
        </is>
      </c>
      <c r="P4" s="3" t="inlineStr">
        <is>
          <t>월 배액량(m³)</t>
        </is>
      </c>
      <c r="Q4" s="3" t="inlineStr">
        <is>
          <t>월 기타 용수량(m³)</t>
        </is>
      </c>
      <c r="R4" s="3" t="inlineStr">
        <is>
          <t>월 총 용수량(m³)</t>
        </is>
      </c>
      <c r="S4" s="3" t="inlineStr">
        <is>
          <t>월 수도비(원)</t>
        </is>
      </c>
      <c r="T4" s="3" t="inlineStr">
        <is>
          <t>월 재료비(원)</t>
        </is>
      </c>
      <c r="U4" s="3" t="inlineStr">
        <is>
          <t>월 인건비(원)</t>
        </is>
      </c>
      <c r="V4" s="3" t="inlineStr">
        <is>
          <t>월 기기 대여비(원)</t>
        </is>
      </c>
      <c r="W4" s="3" t="inlineStr">
        <is>
          <t>기타비용(원)</t>
        </is>
      </c>
      <c r="X4" s="3" t="inlineStr">
        <is>
          <t>월 운영비(원)</t>
        </is>
      </c>
      <c r="Y4" s="3" t="inlineStr">
        <is>
          <t>월 영업이익(원)</t>
        </is>
      </c>
      <c r="Z4" s="3" t="inlineStr">
        <is>
          <t>공간 대여자 배분율</t>
        </is>
      </c>
      <c r="AA4" s="3" t="inlineStr">
        <is>
          <t>공간 대여자 예상수익(원)</t>
        </is>
      </c>
      <c r="AB4" s="3" t="inlineStr">
        <is>
          <t>공실 월세 대비 차이(원)</t>
        </is>
      </c>
      <c r="AC4" s="3" t="inlineStr">
        <is>
          <t>사업장 영업이익(원)</t>
        </is>
      </c>
      <c r="AD4" s="3" t="inlineStr">
        <is>
          <t>추천 방식</t>
        </is>
      </c>
      <c r="AE4" s="3" t="inlineStr">
        <is>
          <t>계약 형태</t>
        </is>
      </c>
    </row>
    <row r="5">
      <c r="A5" s="4" t="inlineStr">
        <is>
          <t>S001-상추</t>
        </is>
      </c>
      <c r="B5" s="4" t="inlineStr">
        <is>
          <t>S001</t>
        </is>
      </c>
      <c r="C5" s="4" t="inlineStr">
        <is>
          <t>부산 금정구 농장</t>
        </is>
      </c>
      <c r="D5" s="4" t="inlineStr">
        <is>
          <t>상추</t>
        </is>
      </c>
      <c r="E5" s="5" t="n">
        <v>164</v>
      </c>
      <c r="F5" s="5" t="n">
        <v>106.6</v>
      </c>
      <c r="G5" s="5" t="n">
        <v>426.4</v>
      </c>
      <c r="H5" s="6" t="n">
        <v>1200000</v>
      </c>
      <c r="I5" s="5" t="n">
        <v>1279.2</v>
      </c>
      <c r="J5" s="5" t="n">
        <v>1151.28</v>
      </c>
      <c r="K5" s="6" t="n">
        <v>9210240</v>
      </c>
      <c r="L5" s="6" t="n">
        <v>35787.46703603096</v>
      </c>
      <c r="M5" s="6" t="n">
        <v>5547057.390584799</v>
      </c>
      <c r="N5" s="7" t="n">
        <v>0.3</v>
      </c>
      <c r="O5" s="5" t="n">
        <v>41.50293333333334</v>
      </c>
      <c r="P5" s="5" t="n">
        <v>17.78697142857144</v>
      </c>
      <c r="Q5" s="5" t="n">
        <v>0.9976666666666668</v>
      </c>
      <c r="R5" s="5" t="n">
        <v>60.28757142857144</v>
      </c>
      <c r="S5" s="6" t="n">
        <v>138661.4142857143</v>
      </c>
      <c r="T5" s="6" t="n">
        <v>3317798.095238096</v>
      </c>
      <c r="U5" s="6" t="n">
        <v>6600672</v>
      </c>
      <c r="V5" s="6" t="n">
        <v>2345200</v>
      </c>
      <c r="W5" s="6" t="n">
        <v>300000</v>
      </c>
      <c r="X5" s="6" t="n">
        <v>18249388.90010861</v>
      </c>
      <c r="Y5" s="6" t="n">
        <v>-9039148.900108609</v>
      </c>
      <c r="Z5" s="7" t="n">
        <v>0.8</v>
      </c>
      <c r="AA5" s="6" t="n">
        <v>-7231319.120086888</v>
      </c>
      <c r="AB5" s="6" t="n">
        <v>-8431319.120086888</v>
      </c>
      <c r="AC5" s="6" t="n">
        <v>-1807829.780021721</v>
      </c>
      <c r="AD5" s="4" t="inlineStr">
        <is>
          <t>개인취미 대여 방식 추천</t>
        </is>
      </c>
      <c r="AE5" s="4" t="inlineStr">
        <is>
          <t>단기계약형</t>
        </is>
      </c>
    </row>
    <row r="6">
      <c r="A6" s="4" t="inlineStr">
        <is>
          <t>S001-딸기</t>
        </is>
      </c>
      <c r="B6" s="4" t="inlineStr">
        <is>
          <t>S001</t>
        </is>
      </c>
      <c r="C6" s="4" t="inlineStr">
        <is>
          <t>부산 금정구 농장</t>
        </is>
      </c>
      <c r="D6" s="4" t="inlineStr">
        <is>
          <t>딸기</t>
        </is>
      </c>
      <c r="E6" s="5" t="n">
        <v>164</v>
      </c>
      <c r="F6" s="5" t="n">
        <v>106.6</v>
      </c>
      <c r="G6" s="5" t="n">
        <v>213.2</v>
      </c>
      <c r="H6" s="6" t="n">
        <v>1200000</v>
      </c>
      <c r="I6" s="5" t="n">
        <v>426.4</v>
      </c>
      <c r="J6" s="5" t="n">
        <v>383.76</v>
      </c>
      <c r="K6" s="6" t="n">
        <v>11512800</v>
      </c>
      <c r="L6" s="6" t="n">
        <v>12923.4610087912</v>
      </c>
      <c r="M6" s="6" t="n">
        <v>2003136.456362635</v>
      </c>
      <c r="N6" s="7" t="n">
        <v>0.3</v>
      </c>
      <c r="O6" s="5" t="n">
        <v>5.836350000000001</v>
      </c>
      <c r="P6" s="5" t="n">
        <v>2.501292857142857</v>
      </c>
      <c r="Q6" s="5" t="n">
        <v>0.9976666666666668</v>
      </c>
      <c r="R6" s="5" t="n">
        <v>9.335309523809524</v>
      </c>
      <c r="S6" s="6" t="n">
        <v>21471.21190476191</v>
      </c>
      <c r="T6" s="6" t="n">
        <v>966252.8571428573</v>
      </c>
      <c r="U6" s="6" t="n">
        <v>2200224</v>
      </c>
      <c r="V6" s="6" t="n">
        <v>2345200</v>
      </c>
      <c r="W6" s="6" t="n">
        <v>300000</v>
      </c>
      <c r="X6" s="6" t="n">
        <v>7836284.525410254</v>
      </c>
      <c r="Y6" s="6" t="n">
        <v>3676515.474589747</v>
      </c>
      <c r="Z6" s="7" t="n">
        <v>0.8</v>
      </c>
      <c r="AA6" s="6" t="n">
        <v>2941212.379671798</v>
      </c>
      <c r="AB6" s="6" t="n">
        <v>1741212.379671798</v>
      </c>
      <c r="AC6" s="6" t="n">
        <v>735303.0949179493</v>
      </c>
      <c r="AD6" s="4" t="inlineStr">
        <is>
          <t>도심형 대량생산 스마트팜 방식 추천</t>
        </is>
      </c>
      <c r="AE6" s="4" t="inlineStr">
        <is>
          <t>장기계약형</t>
        </is>
      </c>
    </row>
    <row r="7">
      <c r="A7" s="4" t="inlineStr">
        <is>
          <t>S001-바질</t>
        </is>
      </c>
      <c r="B7" s="4" t="inlineStr">
        <is>
          <t>S001</t>
        </is>
      </c>
      <c r="C7" s="4" t="inlineStr">
        <is>
          <t>부산 금정구 농장</t>
        </is>
      </c>
      <c r="D7" s="4" t="inlineStr">
        <is>
          <t>바질</t>
        </is>
      </c>
      <c r="E7" s="5" t="n">
        <v>164</v>
      </c>
      <c r="F7" s="5" t="n">
        <v>106.6</v>
      </c>
      <c r="G7" s="5" t="n">
        <v>319.8</v>
      </c>
      <c r="H7" s="6" t="n">
        <v>1200000</v>
      </c>
      <c r="I7" s="5" t="n">
        <v>767.5200000000001</v>
      </c>
      <c r="J7" s="5" t="n">
        <v>690.7680000000001</v>
      </c>
      <c r="K7" s="6" t="n">
        <v>17269200</v>
      </c>
      <c r="L7" s="6" t="n">
        <v>20332.35380070949</v>
      </c>
      <c r="M7" s="6" t="n">
        <v>3151514.83910997</v>
      </c>
      <c r="N7" s="7" t="n">
        <v>0.3</v>
      </c>
      <c r="O7" s="5" t="n">
        <v>10.699975</v>
      </c>
      <c r="P7" s="5" t="n">
        <v>4.585703571428574</v>
      </c>
      <c r="Q7" s="5" t="n">
        <v>0.9976666666666668</v>
      </c>
      <c r="R7" s="5" t="n">
        <v>16.28334523809524</v>
      </c>
      <c r="S7" s="6" t="n">
        <v>37451.69404761906</v>
      </c>
      <c r="T7" s="6" t="n">
        <v>1904713.571428572</v>
      </c>
      <c r="U7" s="6" t="n">
        <v>3960403.200000001</v>
      </c>
      <c r="V7" s="6" t="n">
        <v>2345200</v>
      </c>
      <c r="W7" s="6" t="n">
        <v>300000</v>
      </c>
      <c r="X7" s="6" t="n">
        <v>11699283.30458616</v>
      </c>
      <c r="Y7" s="6" t="n">
        <v>5569916.695413843</v>
      </c>
      <c r="Z7" s="7" t="n">
        <v>0.8</v>
      </c>
      <c r="AA7" s="6" t="n">
        <v>4455933.356331075</v>
      </c>
      <c r="AB7" s="6" t="n">
        <v>3255933.356331075</v>
      </c>
      <c r="AC7" s="6" t="n">
        <v>1113983.339082768</v>
      </c>
      <c r="AD7" s="4" t="inlineStr">
        <is>
          <t>도심형 대량생산 스마트팜 방식 추천</t>
        </is>
      </c>
      <c r="AE7" s="4" t="inlineStr">
        <is>
          <t>장기계약형</t>
        </is>
      </c>
    </row>
    <row r="8">
      <c r="A8" s="4" t="inlineStr">
        <is>
          <t>S001-애플민트</t>
        </is>
      </c>
      <c r="B8" s="4" t="inlineStr">
        <is>
          <t>S001</t>
        </is>
      </c>
      <c r="C8" s="4" t="inlineStr">
        <is>
          <t>부산 금정구 농장</t>
        </is>
      </c>
      <c r="D8" s="4" t="inlineStr">
        <is>
          <t>애플민트</t>
        </is>
      </c>
      <c r="E8" s="5" t="n">
        <v>164</v>
      </c>
      <c r="F8" s="5" t="n">
        <v>106.6</v>
      </c>
      <c r="G8" s="5" t="n">
        <v>426.4</v>
      </c>
      <c r="H8" s="6" t="n">
        <v>1200000</v>
      </c>
      <c r="I8" s="5" t="n">
        <v>579.9040000000001</v>
      </c>
      <c r="J8" s="5" t="n">
        <v>521.9136000000001</v>
      </c>
      <c r="K8" s="6" t="n">
        <v>31314816</v>
      </c>
      <c r="L8" s="6" t="n">
        <v>24496.30963994631</v>
      </c>
      <c r="M8" s="6" t="n">
        <v>3796927.994191677</v>
      </c>
      <c r="N8" s="7" t="n">
        <v>0.3</v>
      </c>
      <c r="O8" s="5" t="n">
        <v>28.53326666666667</v>
      </c>
      <c r="P8" s="5" t="n">
        <v>12.22854285714286</v>
      </c>
      <c r="Q8" s="5" t="n">
        <v>0.9976666666666668</v>
      </c>
      <c r="R8" s="5" t="n">
        <v>41.7594761904762</v>
      </c>
      <c r="S8" s="6" t="n">
        <v>96046.79523809526</v>
      </c>
      <c r="T8" s="6" t="n">
        <v>1668036.190476191</v>
      </c>
      <c r="U8" s="6" t="n">
        <v>2992304.640000001</v>
      </c>
      <c r="V8" s="6" t="n">
        <v>2345200</v>
      </c>
      <c r="W8" s="6" t="n">
        <v>300000</v>
      </c>
      <c r="X8" s="6" t="n">
        <v>11198515.61990596</v>
      </c>
      <c r="Y8" s="6" t="n">
        <v>20116300.38009404</v>
      </c>
      <c r="Z8" s="7" t="n">
        <v>0.8</v>
      </c>
      <c r="AA8" s="6" t="n">
        <v>16093040.30407523</v>
      </c>
      <c r="AB8" s="6" t="n">
        <v>14893040.30407523</v>
      </c>
      <c r="AC8" s="6" t="n">
        <v>4023260.076018807</v>
      </c>
      <c r="AD8" s="4" t="inlineStr">
        <is>
          <t>도심형 대량생산 스마트팜 방식 추천</t>
        </is>
      </c>
      <c r="AE8" s="4" t="inlineStr">
        <is>
          <t>장기계약형</t>
        </is>
      </c>
    </row>
    <row r="9">
      <c r="A9" s="4" t="inlineStr">
        <is>
          <t>S001-쪽파</t>
        </is>
      </c>
      <c r="B9" s="4" t="inlineStr">
        <is>
          <t>S001</t>
        </is>
      </c>
      <c r="C9" s="4" t="inlineStr">
        <is>
          <t>부산 금정구 농장</t>
        </is>
      </c>
      <c r="D9" s="4" t="inlineStr">
        <is>
          <t>쪽파</t>
        </is>
      </c>
      <c r="E9" s="5" t="n">
        <v>164</v>
      </c>
      <c r="F9" s="5" t="n">
        <v>106.6</v>
      </c>
      <c r="G9" s="5" t="n">
        <v>319.8</v>
      </c>
      <c r="H9" s="6" t="n">
        <v>1200000</v>
      </c>
      <c r="I9" s="5" t="n">
        <v>639.6</v>
      </c>
      <c r="J9" s="5" t="n">
        <v>575.64</v>
      </c>
      <c r="K9" s="6" t="n">
        <v>5756400</v>
      </c>
      <c r="L9" s="6" t="n">
        <v>26622.10564610252</v>
      </c>
      <c r="M9" s="6" t="n">
        <v>4126426.37514589</v>
      </c>
      <c r="N9" s="7" t="n">
        <v>0.3</v>
      </c>
      <c r="O9" s="5" t="n">
        <v>29.18175</v>
      </c>
      <c r="P9" s="5" t="n">
        <v>12.50646428571429</v>
      </c>
      <c r="Q9" s="5" t="n">
        <v>0.9976666666666668</v>
      </c>
      <c r="R9" s="5" t="n">
        <v>42.68588095238096</v>
      </c>
      <c r="S9" s="6" t="n">
        <v>98177.52619047622</v>
      </c>
      <c r="T9" s="6" t="n">
        <v>1057624.285714286</v>
      </c>
      <c r="U9" s="6" t="n">
        <v>3300336</v>
      </c>
      <c r="V9" s="6" t="n">
        <v>2345200</v>
      </c>
      <c r="W9" s="6" t="n">
        <v>300000</v>
      </c>
      <c r="X9" s="6" t="n">
        <v>11227764.18705065</v>
      </c>
      <c r="Y9" s="6" t="n">
        <v>-5471364.187050652</v>
      </c>
      <c r="Z9" s="7" t="n">
        <v>0.8</v>
      </c>
      <c r="AA9" s="6" t="n">
        <v>-4377091.349640521</v>
      </c>
      <c r="AB9" s="6" t="n">
        <v>-5577091.349640521</v>
      </c>
      <c r="AC9" s="6" t="n">
        <v>-1094272.837410131</v>
      </c>
      <c r="AD9" s="4" t="inlineStr">
        <is>
          <t>개인취미 대여 방식 추천</t>
        </is>
      </c>
      <c r="AE9" s="4" t="inlineStr">
        <is>
          <t>단기계약형</t>
        </is>
      </c>
    </row>
    <row r="10">
      <c r="A10" s="4" t="inlineStr">
        <is>
          <t>S001-병풀</t>
        </is>
      </c>
      <c r="B10" s="4" t="inlineStr">
        <is>
          <t>S001</t>
        </is>
      </c>
      <c r="C10" s="4" t="inlineStr">
        <is>
          <t>부산 금정구 농장</t>
        </is>
      </c>
      <c r="D10" s="4" t="inlineStr">
        <is>
          <t>병풀</t>
        </is>
      </c>
      <c r="E10" s="5" t="n">
        <v>164</v>
      </c>
      <c r="F10" s="5" t="n">
        <v>106.6</v>
      </c>
      <c r="G10" s="5" t="n">
        <v>319.8</v>
      </c>
      <c r="H10" s="6" t="n">
        <v>1200000</v>
      </c>
      <c r="I10" s="5" t="n">
        <v>639.6</v>
      </c>
      <c r="J10" s="5" t="n">
        <v>575.64</v>
      </c>
      <c r="K10" s="6" t="n">
        <v>11512800</v>
      </c>
      <c r="L10" s="6" t="n">
        <v>23610.91406302647</v>
      </c>
      <c r="M10" s="6" t="n">
        <v>3659691.679769103</v>
      </c>
      <c r="N10" s="7" t="n">
        <v>0.3</v>
      </c>
      <c r="O10" s="5" t="n">
        <v>29.18175</v>
      </c>
      <c r="P10" s="5" t="n">
        <v>12.50646428571429</v>
      </c>
      <c r="Q10" s="5" t="n">
        <v>0.9976666666666668</v>
      </c>
      <c r="R10" s="5" t="n">
        <v>42.68588095238096</v>
      </c>
      <c r="S10" s="6" t="n">
        <v>98177.52619047622</v>
      </c>
      <c r="T10" s="6" t="n">
        <v>1366765.351714286</v>
      </c>
      <c r="U10" s="6" t="n">
        <v>3300336</v>
      </c>
      <c r="V10" s="6" t="n">
        <v>2345200</v>
      </c>
      <c r="W10" s="6" t="n">
        <v>300000</v>
      </c>
      <c r="X10" s="6" t="n">
        <v>11070170.55767386</v>
      </c>
      <c r="Y10" s="6" t="n">
        <v>442629.4423261359</v>
      </c>
      <c r="Z10" s="7" t="n">
        <v>0.8</v>
      </c>
      <c r="AA10" s="6" t="n">
        <v>354103.5538609088</v>
      </c>
      <c r="AB10" s="6" t="n">
        <v>-845896.4461390912</v>
      </c>
      <c r="AC10" s="6" t="n">
        <v>88525.88846522715</v>
      </c>
      <c r="AD10" s="4" t="inlineStr">
        <is>
          <t>개인취미 대여 방식 추천</t>
        </is>
      </c>
      <c r="AE10" s="4" t="inlineStr">
        <is>
          <t>단기계약형</t>
        </is>
      </c>
    </row>
    <row r="11">
      <c r="A11" s="4" t="inlineStr">
        <is>
          <t>S002-상추</t>
        </is>
      </c>
      <c r="B11" s="4" t="inlineStr">
        <is>
          <t>S002</t>
        </is>
      </c>
      <c r="C11" s="4" t="inlineStr">
        <is>
          <t>부산 해운대 농장</t>
        </is>
      </c>
      <c r="D11" s="4" t="inlineStr">
        <is>
          <t>상추</t>
        </is>
      </c>
      <c r="E11" s="5" t="n">
        <v>66</v>
      </c>
      <c r="F11" s="5" t="n">
        <v>42.9</v>
      </c>
      <c r="G11" s="5" t="n">
        <v>171.6</v>
      </c>
      <c r="H11" s="6" t="n">
        <v>800000</v>
      </c>
      <c r="I11" s="5" t="n">
        <v>514.8</v>
      </c>
      <c r="J11" s="5" t="n">
        <v>463.32</v>
      </c>
      <c r="K11" s="6" t="n">
        <v>3706560</v>
      </c>
      <c r="L11" s="6" t="n">
        <v>14408.11237774814</v>
      </c>
      <c r="M11" s="6" t="n">
        <v>2233257.418550962</v>
      </c>
      <c r="N11" s="7" t="n">
        <v>0.3</v>
      </c>
      <c r="O11" s="5" t="n">
        <v>16.7024</v>
      </c>
      <c r="P11" s="5" t="n">
        <v>7.158171428571429</v>
      </c>
      <c r="Q11" s="5" t="n">
        <v>0.4015000000000001</v>
      </c>
      <c r="R11" s="5" t="n">
        <v>24.26207142857143</v>
      </c>
      <c r="S11" s="6" t="n">
        <v>55802.76428571429</v>
      </c>
      <c r="T11" s="6" t="n">
        <v>1335211.428571429</v>
      </c>
      <c r="U11" s="6" t="n">
        <v>2656368</v>
      </c>
      <c r="V11" s="6" t="n">
        <v>943800</v>
      </c>
      <c r="W11" s="6" t="n">
        <v>300000</v>
      </c>
      <c r="X11" s="6" t="n">
        <v>7524439.611408105</v>
      </c>
      <c r="Y11" s="6" t="n">
        <v>-3817879.611408105</v>
      </c>
      <c r="Z11" s="7" t="n">
        <v>0.8</v>
      </c>
      <c r="AA11" s="6" t="n">
        <v>-3054303.689126484</v>
      </c>
      <c r="AB11" s="6" t="n">
        <v>-3854303.689126484</v>
      </c>
      <c r="AC11" s="6" t="n">
        <v>-763575.922281621</v>
      </c>
      <c r="AD11" s="4" t="inlineStr">
        <is>
          <t>개인취미 대여 방식 추천</t>
        </is>
      </c>
      <c r="AE11" s="4" t="inlineStr">
        <is>
          <t>단기계약형</t>
        </is>
      </c>
    </row>
    <row r="12">
      <c r="A12" s="4" t="inlineStr">
        <is>
          <t>S002-딸기</t>
        </is>
      </c>
      <c r="B12" s="4" t="inlineStr">
        <is>
          <t>S002</t>
        </is>
      </c>
      <c r="C12" s="4" t="inlineStr">
        <is>
          <t>부산 해운대 농장</t>
        </is>
      </c>
      <c r="D12" s="4" t="inlineStr">
        <is>
          <t>딸기</t>
        </is>
      </c>
      <c r="E12" s="5" t="n">
        <v>66</v>
      </c>
      <c r="F12" s="5" t="n">
        <v>42.9</v>
      </c>
      <c r="G12" s="5" t="n">
        <v>85.8</v>
      </c>
      <c r="H12" s="6" t="n">
        <v>800000</v>
      </c>
      <c r="I12" s="5" t="n">
        <v>171.6</v>
      </c>
      <c r="J12" s="5" t="n">
        <v>154.44</v>
      </c>
      <c r="K12" s="6" t="n">
        <v>4633200</v>
      </c>
      <c r="L12" s="6" t="n">
        <v>5205.228993936708</v>
      </c>
      <c r="M12" s="6" t="n">
        <v>806810.4940601898</v>
      </c>
      <c r="N12" s="7" t="n">
        <v>0.3</v>
      </c>
      <c r="O12" s="5" t="n">
        <v>2.348775</v>
      </c>
      <c r="P12" s="5" t="n">
        <v>1.006617857142857</v>
      </c>
      <c r="Q12" s="5" t="n">
        <v>0.4015000000000001</v>
      </c>
      <c r="R12" s="5" t="n">
        <v>3.756892857142857</v>
      </c>
      <c r="S12" s="6" t="n">
        <v>8640.853571428572</v>
      </c>
      <c r="T12" s="6" t="n">
        <v>388857.8571428572</v>
      </c>
      <c r="U12" s="6" t="n">
        <v>885456</v>
      </c>
      <c r="V12" s="6" t="n">
        <v>943800</v>
      </c>
      <c r="W12" s="6" t="n">
        <v>300000</v>
      </c>
      <c r="X12" s="6" t="n">
        <v>3333565.204774476</v>
      </c>
      <c r="Y12" s="6" t="n">
        <v>1299634.795225524</v>
      </c>
      <c r="Z12" s="7" t="n">
        <v>0.8</v>
      </c>
      <c r="AA12" s="6" t="n">
        <v>1039707.83618042</v>
      </c>
      <c r="AB12" s="6" t="n">
        <v>239707.8361804195</v>
      </c>
      <c r="AC12" s="6" t="n">
        <v>259926.9590451048</v>
      </c>
      <c r="AD12" s="4" t="inlineStr">
        <is>
          <t>도심형 대량생산 스마트팜 방식 추천</t>
        </is>
      </c>
      <c r="AE12" s="4" t="inlineStr">
        <is>
          <t>장기계약형</t>
        </is>
      </c>
    </row>
    <row r="13">
      <c r="A13" s="4" t="inlineStr">
        <is>
          <t>S002-바질</t>
        </is>
      </c>
      <c r="B13" s="4" t="inlineStr">
        <is>
          <t>S002</t>
        </is>
      </c>
      <c r="C13" s="4" t="inlineStr">
        <is>
          <t>부산 해운대 농장</t>
        </is>
      </c>
      <c r="D13" s="4" t="inlineStr">
        <is>
          <t>바질</t>
        </is>
      </c>
      <c r="E13" s="5" t="n">
        <v>66</v>
      </c>
      <c r="F13" s="5" t="n">
        <v>42.9</v>
      </c>
      <c r="G13" s="5" t="n">
        <v>128.7</v>
      </c>
      <c r="H13" s="6" t="n">
        <v>800000</v>
      </c>
      <c r="I13" s="5" t="n">
        <v>308.88</v>
      </c>
      <c r="J13" s="5" t="n">
        <v>277.992</v>
      </c>
      <c r="K13" s="6" t="n">
        <v>6949800.000000001</v>
      </c>
      <c r="L13" s="6" t="n">
        <v>8186.521350231673</v>
      </c>
      <c r="M13" s="6" t="n">
        <v>1268910.809285909</v>
      </c>
      <c r="N13" s="7" t="n">
        <v>0.3</v>
      </c>
      <c r="O13" s="5" t="n">
        <v>4.306087499999999</v>
      </c>
      <c r="P13" s="5" t="n">
        <v>1.845466071428572</v>
      </c>
      <c r="Q13" s="5" t="n">
        <v>0.4015000000000001</v>
      </c>
      <c r="R13" s="5" t="n">
        <v>6.553053571428571</v>
      </c>
      <c r="S13" s="6" t="n">
        <v>15072.02321428571</v>
      </c>
      <c r="T13" s="6" t="n">
        <v>766531.0714285715</v>
      </c>
      <c r="U13" s="6" t="n">
        <v>1593820.8</v>
      </c>
      <c r="V13" s="6" t="n">
        <v>943800</v>
      </c>
      <c r="W13" s="6" t="n">
        <v>300000</v>
      </c>
      <c r="X13" s="6" t="n">
        <v>4888134.703928767</v>
      </c>
      <c r="Y13" s="6" t="n">
        <v>2061665.296071234</v>
      </c>
      <c r="Z13" s="7" t="n">
        <v>0.8</v>
      </c>
      <c r="AA13" s="6" t="n">
        <v>1649332.236856987</v>
      </c>
      <c r="AB13" s="6" t="n">
        <v>849332.2368569875</v>
      </c>
      <c r="AC13" s="6" t="n">
        <v>412333.0592142467</v>
      </c>
      <c r="AD13" s="4" t="inlineStr">
        <is>
          <t>도심형 대량생산 스마트팜 방식 추천</t>
        </is>
      </c>
      <c r="AE13" s="4" t="inlineStr">
        <is>
          <t>장기계약형</t>
        </is>
      </c>
    </row>
    <row r="14">
      <c r="A14" s="4" t="inlineStr">
        <is>
          <t>S002-애플민트</t>
        </is>
      </c>
      <c r="B14" s="4" t="inlineStr">
        <is>
          <t>S002</t>
        </is>
      </c>
      <c r="C14" s="4" t="inlineStr">
        <is>
          <t>부산 해운대 농장</t>
        </is>
      </c>
      <c r="D14" s="4" t="inlineStr">
        <is>
          <t>애플민트</t>
        </is>
      </c>
      <c r="E14" s="5" t="n">
        <v>66</v>
      </c>
      <c r="F14" s="5" t="n">
        <v>42.9</v>
      </c>
      <c r="G14" s="5" t="n">
        <v>171.6</v>
      </c>
      <c r="H14" s="6" t="n">
        <v>800000</v>
      </c>
      <c r="I14" s="5" t="n">
        <v>233.376</v>
      </c>
      <c r="J14" s="5" t="n">
        <v>210.0384</v>
      </c>
      <c r="K14" s="6" t="n">
        <v>12602304</v>
      </c>
      <c r="L14" s="6" t="n">
        <v>9869.283521846342</v>
      </c>
      <c r="M14" s="6" t="n">
        <v>1529738.945886183</v>
      </c>
      <c r="N14" s="7" t="n">
        <v>0.3</v>
      </c>
      <c r="O14" s="5" t="n">
        <v>11.4829</v>
      </c>
      <c r="P14" s="5" t="n">
        <v>4.921242857142857</v>
      </c>
      <c r="Q14" s="5" t="n">
        <v>0.4015000000000001</v>
      </c>
      <c r="R14" s="5" t="n">
        <v>16.80564285714286</v>
      </c>
      <c r="S14" s="6" t="n">
        <v>38652.97857142858</v>
      </c>
      <c r="T14" s="6" t="n">
        <v>671282.8571428572</v>
      </c>
      <c r="U14" s="6" t="n">
        <v>1204220.16</v>
      </c>
      <c r="V14" s="6" t="n">
        <v>943800</v>
      </c>
      <c r="W14" s="6" t="n">
        <v>300000</v>
      </c>
      <c r="X14" s="6" t="n">
        <v>4687694.941600469</v>
      </c>
      <c r="Y14" s="6" t="n">
        <v>7914609.058399531</v>
      </c>
      <c r="Z14" s="7" t="n">
        <v>0.8</v>
      </c>
      <c r="AA14" s="6" t="n">
        <v>6331687.246719625</v>
      </c>
      <c r="AB14" s="6" t="n">
        <v>5531687.246719625</v>
      </c>
      <c r="AC14" s="6" t="n">
        <v>1582921.811679906</v>
      </c>
      <c r="AD14" s="4" t="inlineStr">
        <is>
          <t>도심형 대량생산 스마트팜 방식 추천</t>
        </is>
      </c>
      <c r="AE14" s="4" t="inlineStr">
        <is>
          <t>장기계약형</t>
        </is>
      </c>
    </row>
    <row r="15">
      <c r="A15" s="4" t="inlineStr">
        <is>
          <t>S002-쪽파</t>
        </is>
      </c>
      <c r="B15" s="4" t="inlineStr">
        <is>
          <t>S002</t>
        </is>
      </c>
      <c r="C15" s="4" t="inlineStr">
        <is>
          <t>부산 해운대 농장</t>
        </is>
      </c>
      <c r="D15" s="4" t="inlineStr">
        <is>
          <t>쪽파</t>
        </is>
      </c>
      <c r="E15" s="5" t="n">
        <v>66</v>
      </c>
      <c r="F15" s="5" t="n">
        <v>42.9</v>
      </c>
      <c r="G15" s="5" t="n">
        <v>128.7</v>
      </c>
      <c r="H15" s="6" t="n">
        <v>800000</v>
      </c>
      <c r="I15" s="5" t="n">
        <v>257.4</v>
      </c>
      <c r="J15" s="5" t="n">
        <v>231.66</v>
      </c>
      <c r="K15" s="6" t="n">
        <v>2316600</v>
      </c>
      <c r="L15" s="6" t="n">
        <v>10718.09817724492</v>
      </c>
      <c r="M15" s="6" t="n">
        <v>1661305.217472963</v>
      </c>
      <c r="N15" s="7" t="n">
        <v>0.3</v>
      </c>
      <c r="O15" s="5" t="n">
        <v>11.743875</v>
      </c>
      <c r="P15" s="5" t="n">
        <v>5.033089285714286</v>
      </c>
      <c r="Q15" s="5" t="n">
        <v>0.4015000000000001</v>
      </c>
      <c r="R15" s="5" t="n">
        <v>17.17846428571429</v>
      </c>
      <c r="S15" s="6" t="n">
        <v>39510.46785714286</v>
      </c>
      <c r="T15" s="6" t="n">
        <v>425629.2857142857</v>
      </c>
      <c r="U15" s="6" t="n">
        <v>1328184</v>
      </c>
      <c r="V15" s="6" t="n">
        <v>943800</v>
      </c>
      <c r="W15" s="6" t="n">
        <v>300000</v>
      </c>
      <c r="X15" s="6" t="n">
        <v>4698428.971044391</v>
      </c>
      <c r="Y15" s="6" t="n">
        <v>-2381828.971044391</v>
      </c>
      <c r="Z15" s="7" t="n">
        <v>0.8</v>
      </c>
      <c r="AA15" s="6" t="n">
        <v>-1905463.176835513</v>
      </c>
      <c r="AB15" s="6" t="n">
        <v>-2705463.176835513</v>
      </c>
      <c r="AC15" s="6" t="n">
        <v>-476365.7942088782</v>
      </c>
      <c r="AD15" s="4" t="inlineStr">
        <is>
          <t>개인취미 대여 방식 추천</t>
        </is>
      </c>
      <c r="AE15" s="4" t="inlineStr">
        <is>
          <t>단기계약형</t>
        </is>
      </c>
    </row>
    <row r="16">
      <c r="A16" s="4" t="inlineStr">
        <is>
          <t>S002-병풀</t>
        </is>
      </c>
      <c r="B16" s="4" t="inlineStr">
        <is>
          <t>S002</t>
        </is>
      </c>
      <c r="C16" s="4" t="inlineStr">
        <is>
          <t>부산 해운대 농장</t>
        </is>
      </c>
      <c r="D16" s="4" t="inlineStr">
        <is>
          <t>병풀</t>
        </is>
      </c>
      <c r="E16" s="5" t="n">
        <v>66</v>
      </c>
      <c r="F16" s="5" t="n">
        <v>42.9</v>
      </c>
      <c r="G16" s="5" t="n">
        <v>128.7</v>
      </c>
      <c r="H16" s="6" t="n">
        <v>800000</v>
      </c>
      <c r="I16" s="5" t="n">
        <v>257.4</v>
      </c>
      <c r="J16" s="5" t="n">
        <v>231.66</v>
      </c>
      <c r="K16" s="6" t="n">
        <v>4633200</v>
      </c>
      <c r="L16" s="6" t="n">
        <v>9514.144933928705</v>
      </c>
      <c r="M16" s="6" t="n">
        <v>1474692.464758949</v>
      </c>
      <c r="N16" s="7" t="n">
        <v>0.3</v>
      </c>
      <c r="O16" s="5" t="n">
        <v>11.743875</v>
      </c>
      <c r="P16" s="5" t="n">
        <v>5.033089285714286</v>
      </c>
      <c r="Q16" s="5" t="n">
        <v>0.4015000000000001</v>
      </c>
      <c r="R16" s="5" t="n">
        <v>17.17846428571429</v>
      </c>
      <c r="S16" s="6" t="n">
        <v>39510.46785714286</v>
      </c>
      <c r="T16" s="6" t="n">
        <v>550039.7147142857</v>
      </c>
      <c r="U16" s="6" t="n">
        <v>1328184</v>
      </c>
      <c r="V16" s="6" t="n">
        <v>943800</v>
      </c>
      <c r="W16" s="6" t="n">
        <v>300000</v>
      </c>
      <c r="X16" s="6" t="n">
        <v>4636226.647330377</v>
      </c>
      <c r="Y16" s="6" t="n">
        <v>-3026.647330377251</v>
      </c>
      <c r="Z16" s="7" t="n">
        <v>0.8</v>
      </c>
      <c r="AA16" s="6" t="n">
        <v>-2421.317864301801</v>
      </c>
      <c r="AB16" s="6" t="n">
        <v>-802421.3178643018</v>
      </c>
      <c r="AC16" s="6" t="n">
        <v>-605.32946607545</v>
      </c>
      <c r="AD16" s="4" t="inlineStr">
        <is>
          <t>개인취미 대여 방식 추천</t>
        </is>
      </c>
      <c r="AE16" s="4" t="inlineStr">
        <is>
          <t>단기계약형</t>
        </is>
      </c>
    </row>
    <row r="17">
      <c r="A17" s="4" t="inlineStr">
        <is>
          <t>S003-상추</t>
        </is>
      </c>
      <c r="B17" s="4" t="inlineStr">
        <is>
          <t>S003</t>
        </is>
      </c>
      <c r="C17" s="4" t="inlineStr">
        <is>
          <t>부산 사하구 농장</t>
        </is>
      </c>
      <c r="D17" s="4" t="inlineStr">
        <is>
          <t>상추</t>
        </is>
      </c>
      <c r="E17" s="5" t="n">
        <v>324</v>
      </c>
      <c r="F17" s="5" t="n">
        <v>210.6</v>
      </c>
      <c r="G17" s="5" t="n">
        <v>842.4</v>
      </c>
      <c r="H17" s="6" t="n">
        <v>3500000</v>
      </c>
      <c r="I17" s="5" t="n">
        <v>2527.2</v>
      </c>
      <c r="J17" s="5" t="n">
        <v>2274.48</v>
      </c>
      <c r="K17" s="6" t="n">
        <v>18195840</v>
      </c>
      <c r="L17" s="6" t="n">
        <v>70687.7183044821</v>
      </c>
      <c r="M17" s="6" t="n">
        <v>10956596.33719473</v>
      </c>
      <c r="N17" s="7" t="n">
        <v>0.3</v>
      </c>
      <c r="O17" s="5" t="n">
        <v>81.9936</v>
      </c>
      <c r="P17" s="5" t="n">
        <v>35.1401142857143</v>
      </c>
      <c r="Q17" s="5" t="n">
        <v>1.971</v>
      </c>
      <c r="R17" s="5" t="n">
        <v>119.1047142857143</v>
      </c>
      <c r="S17" s="6" t="n">
        <v>273940.8428571429</v>
      </c>
      <c r="T17" s="6" t="n">
        <v>6554674.285714285</v>
      </c>
      <c r="U17" s="6" t="n">
        <v>13040352</v>
      </c>
      <c r="V17" s="6" t="n">
        <v>4633200</v>
      </c>
      <c r="W17" s="6" t="n">
        <v>300000</v>
      </c>
      <c r="X17" s="6" t="n">
        <v>35758763.46576615</v>
      </c>
      <c r="Y17" s="6" t="n">
        <v>-17562923.46576615</v>
      </c>
      <c r="Z17" s="7" t="n">
        <v>0.8</v>
      </c>
      <c r="AA17" s="6" t="n">
        <v>-14050338.77261292</v>
      </c>
      <c r="AB17" s="6" t="n">
        <v>-17550338.77261292</v>
      </c>
      <c r="AC17" s="6" t="n">
        <v>-3512584.69315323</v>
      </c>
      <c r="AD17" s="4" t="inlineStr">
        <is>
          <t>개인취미 대여 방식 추천</t>
        </is>
      </c>
      <c r="AE17" s="4" t="inlineStr">
        <is>
          <t>단기계약형</t>
        </is>
      </c>
    </row>
    <row r="18">
      <c r="A18" s="4" t="inlineStr">
        <is>
          <t>S003-딸기</t>
        </is>
      </c>
      <c r="B18" s="4" t="inlineStr">
        <is>
          <t>S003</t>
        </is>
      </c>
      <c r="C18" s="4" t="inlineStr">
        <is>
          <t>부산 사하구 농장</t>
        </is>
      </c>
      <c r="D18" s="4" t="inlineStr">
        <is>
          <t>딸기</t>
        </is>
      </c>
      <c r="E18" s="5" t="n">
        <v>324</v>
      </c>
      <c r="F18" s="5" t="n">
        <v>210.6</v>
      </c>
      <c r="G18" s="5" t="n">
        <v>421.2</v>
      </c>
      <c r="H18" s="6" t="n">
        <v>3500000</v>
      </c>
      <c r="I18" s="5" t="n">
        <v>842.4</v>
      </c>
      <c r="J18" s="5" t="n">
        <v>758.16</v>
      </c>
      <c r="K18" s="6" t="n">
        <v>22744800</v>
      </c>
      <c r="L18" s="6" t="n">
        <v>25521.08862271144</v>
      </c>
      <c r="M18" s="6" t="n">
        <v>3955768.736520273</v>
      </c>
      <c r="N18" s="7" t="n">
        <v>0.3</v>
      </c>
      <c r="O18" s="5" t="n">
        <v>11.53035</v>
      </c>
      <c r="P18" s="5" t="n">
        <v>4.941578571428572</v>
      </c>
      <c r="Q18" s="5" t="n">
        <v>1.971</v>
      </c>
      <c r="R18" s="5" t="n">
        <v>18.44292857142857</v>
      </c>
      <c r="S18" s="6" t="n">
        <v>42418.73571428572</v>
      </c>
      <c r="T18" s="6" t="n">
        <v>1908938.571428571</v>
      </c>
      <c r="U18" s="6" t="n">
        <v>4346784</v>
      </c>
      <c r="V18" s="6" t="n">
        <v>4633200</v>
      </c>
      <c r="W18" s="6" t="n">
        <v>300000</v>
      </c>
      <c r="X18" s="6" t="n">
        <v>15187110.04366313</v>
      </c>
      <c r="Y18" s="6" t="n">
        <v>7557689.956336871</v>
      </c>
      <c r="Z18" s="7" t="n">
        <v>0.8</v>
      </c>
      <c r="AA18" s="6" t="n">
        <v>6046151.965069497</v>
      </c>
      <c r="AB18" s="6" t="n">
        <v>2546151.965069497</v>
      </c>
      <c r="AC18" s="6" t="n">
        <v>1511537.991267374</v>
      </c>
      <c r="AD18" s="4" t="inlineStr">
        <is>
          <t>도심형 대량생산 스마트팜 방식 추천</t>
        </is>
      </c>
      <c r="AE18" s="4" t="inlineStr">
        <is>
          <t>장기계약형</t>
        </is>
      </c>
    </row>
    <row r="19">
      <c r="A19" s="4" t="inlineStr">
        <is>
          <t>S003-바질</t>
        </is>
      </c>
      <c r="B19" s="4" t="inlineStr">
        <is>
          <t>S003</t>
        </is>
      </c>
      <c r="C19" s="4" t="inlineStr">
        <is>
          <t>부산 사하구 농장</t>
        </is>
      </c>
      <c r="D19" s="4" t="inlineStr">
        <is>
          <t>바질</t>
        </is>
      </c>
      <c r="E19" s="5" t="n">
        <v>324</v>
      </c>
      <c r="F19" s="5" t="n">
        <v>210.6</v>
      </c>
      <c r="G19" s="5" t="n">
        <v>631.8</v>
      </c>
      <c r="H19" s="6" t="n">
        <v>3500000</v>
      </c>
      <c r="I19" s="5" t="n">
        <v>1516.32</v>
      </c>
      <c r="J19" s="5" t="n">
        <v>1364.688</v>
      </c>
      <c r="K19" s="6" t="n">
        <v>34117200</v>
      </c>
      <c r="L19" s="6" t="n">
        <v>40158.99340447282</v>
      </c>
      <c r="M19" s="6" t="n">
        <v>6224643.977693288</v>
      </c>
      <c r="N19" s="7" t="n">
        <v>0.3</v>
      </c>
      <c r="O19" s="5" t="n">
        <v>21.138975</v>
      </c>
      <c r="P19" s="5" t="n">
        <v>9.05956071428572</v>
      </c>
      <c r="Q19" s="5" t="n">
        <v>1.971</v>
      </c>
      <c r="R19" s="5" t="n">
        <v>32.16953571428572</v>
      </c>
      <c r="S19" s="6" t="n">
        <v>73989.93214285716</v>
      </c>
      <c r="T19" s="6" t="n">
        <v>3762970.714285715</v>
      </c>
      <c r="U19" s="6" t="n">
        <v>7824211.200000001</v>
      </c>
      <c r="V19" s="6" t="n">
        <v>4633200</v>
      </c>
      <c r="W19" s="6" t="n">
        <v>300000</v>
      </c>
      <c r="X19" s="6" t="n">
        <v>22819015.82412186</v>
      </c>
      <c r="Y19" s="6" t="n">
        <v>11298184.17587814</v>
      </c>
      <c r="Z19" s="7" t="n">
        <v>0.8</v>
      </c>
      <c r="AA19" s="6" t="n">
        <v>9038547.34070251</v>
      </c>
      <c r="AB19" s="6" t="n">
        <v>5538547.34070251</v>
      </c>
      <c r="AC19" s="6" t="n">
        <v>2259636.835175628</v>
      </c>
      <c r="AD19" s="4" t="inlineStr">
        <is>
          <t>도심형 대량생산 스마트팜 방식 추천</t>
        </is>
      </c>
      <c r="AE19" s="4" t="inlineStr">
        <is>
          <t>장기계약형</t>
        </is>
      </c>
    </row>
    <row r="20">
      <c r="A20" s="4" t="inlineStr">
        <is>
          <t>S003-애플민트</t>
        </is>
      </c>
      <c r="B20" s="4" t="inlineStr">
        <is>
          <t>S003</t>
        </is>
      </c>
      <c r="C20" s="4" t="inlineStr">
        <is>
          <t>부산 사하구 농장</t>
        </is>
      </c>
      <c r="D20" s="4" t="inlineStr">
        <is>
          <t>애플민트</t>
        </is>
      </c>
      <c r="E20" s="5" t="n">
        <v>324</v>
      </c>
      <c r="F20" s="5" t="n">
        <v>210.6</v>
      </c>
      <c r="G20" s="5" t="n">
        <v>842.4</v>
      </c>
      <c r="H20" s="6" t="n">
        <v>3500000</v>
      </c>
      <c r="I20" s="5" t="n">
        <v>1145.664</v>
      </c>
      <c r="J20" s="5" t="n">
        <v>1031.0976</v>
      </c>
      <c r="K20" s="6" t="n">
        <v>61865856</v>
      </c>
      <c r="L20" s="6" t="n">
        <v>48368.08260076225</v>
      </c>
      <c r="M20" s="6" t="n">
        <v>7497052.803118148</v>
      </c>
      <c r="N20" s="7" t="n">
        <v>0.3</v>
      </c>
      <c r="O20" s="5" t="n">
        <v>56.3706</v>
      </c>
      <c r="P20" s="5" t="n">
        <v>24.15882857142858</v>
      </c>
      <c r="Q20" s="5" t="n">
        <v>1.971</v>
      </c>
      <c r="R20" s="5" t="n">
        <v>82.50042857142859</v>
      </c>
      <c r="S20" s="6" t="n">
        <v>189750.9857142858</v>
      </c>
      <c r="T20" s="6" t="n">
        <v>3295388.571428572</v>
      </c>
      <c r="U20" s="6" t="n">
        <v>5911626.24</v>
      </c>
      <c r="V20" s="6" t="n">
        <v>4633200</v>
      </c>
      <c r="W20" s="6" t="n">
        <v>300000</v>
      </c>
      <c r="X20" s="6" t="n">
        <v>21827018.600261</v>
      </c>
      <c r="Y20" s="6" t="n">
        <v>40038837.399739</v>
      </c>
      <c r="Z20" s="7" t="n">
        <v>0.8</v>
      </c>
      <c r="AA20" s="6" t="n">
        <v>32031069.9197912</v>
      </c>
      <c r="AB20" s="6" t="n">
        <v>28531069.9197912</v>
      </c>
      <c r="AC20" s="6" t="n">
        <v>8007767.479947798</v>
      </c>
      <c r="AD20" s="4" t="inlineStr">
        <is>
          <t>도심형 대량생산 스마트팜 방식 추천</t>
        </is>
      </c>
      <c r="AE20" s="4" t="inlineStr">
        <is>
          <t>장기계약형</t>
        </is>
      </c>
    </row>
    <row r="21">
      <c r="A21" s="4" t="inlineStr">
        <is>
          <t>S003-쪽파</t>
        </is>
      </c>
      <c r="B21" s="4" t="inlineStr">
        <is>
          <t>S003</t>
        </is>
      </c>
      <c r="C21" s="4" t="inlineStr">
        <is>
          <t>부산 사하구 농장</t>
        </is>
      </c>
      <c r="D21" s="4" t="inlineStr">
        <is>
          <t>쪽파</t>
        </is>
      </c>
      <c r="E21" s="5" t="n">
        <v>324</v>
      </c>
      <c r="F21" s="5" t="n">
        <v>210.6</v>
      </c>
      <c r="G21" s="5" t="n">
        <v>631.8</v>
      </c>
      <c r="H21" s="6" t="n">
        <v>3500000</v>
      </c>
      <c r="I21" s="5" t="n">
        <v>1263.6</v>
      </c>
      <c r="J21" s="5" t="n">
        <v>1137.24</v>
      </c>
      <c r="K21" s="6" t="n">
        <v>11372400</v>
      </c>
      <c r="L21" s="6" t="n">
        <v>52584.26461349722</v>
      </c>
      <c r="M21" s="6" t="n">
        <v>8150561.015092068</v>
      </c>
      <c r="N21" s="7" t="n">
        <v>0.3</v>
      </c>
      <c r="O21" s="5" t="n">
        <v>57.65175</v>
      </c>
      <c r="P21" s="5" t="n">
        <v>24.70789285714287</v>
      </c>
      <c r="Q21" s="5" t="n">
        <v>1.971</v>
      </c>
      <c r="R21" s="5" t="n">
        <v>84.33064285714286</v>
      </c>
      <c r="S21" s="6" t="n">
        <v>193960.4785714286</v>
      </c>
      <c r="T21" s="6" t="n">
        <v>2089452.857142857</v>
      </c>
      <c r="U21" s="6" t="n">
        <v>6520175.999999999</v>
      </c>
      <c r="V21" s="6" t="n">
        <v>4633200</v>
      </c>
      <c r="W21" s="6" t="n">
        <v>300000</v>
      </c>
      <c r="X21" s="6" t="n">
        <v>21887350.35080636</v>
      </c>
      <c r="Y21" s="6" t="n">
        <v>-10514950.35080636</v>
      </c>
      <c r="Z21" s="7" t="n">
        <v>0.8</v>
      </c>
      <c r="AA21" s="6" t="n">
        <v>-8411960.280645085</v>
      </c>
      <c r="AB21" s="6" t="n">
        <v>-11911960.28064509</v>
      </c>
      <c r="AC21" s="6" t="n">
        <v>-2102990.07016127</v>
      </c>
      <c r="AD21" s="4" t="inlineStr">
        <is>
          <t>개인취미 대여 방식 추천</t>
        </is>
      </c>
      <c r="AE21" s="4" t="inlineStr">
        <is>
          <t>단기계약형</t>
        </is>
      </c>
    </row>
    <row r="22">
      <c r="A22" s="4" t="inlineStr">
        <is>
          <t>S003-병풀</t>
        </is>
      </c>
      <c r="B22" s="4" t="inlineStr">
        <is>
          <t>S003</t>
        </is>
      </c>
      <c r="C22" s="4" t="inlineStr">
        <is>
          <t>부산 사하구 농장</t>
        </is>
      </c>
      <c r="D22" s="4" t="inlineStr">
        <is>
          <t>병풀</t>
        </is>
      </c>
      <c r="E22" s="5" t="n">
        <v>324</v>
      </c>
      <c r="F22" s="5" t="n">
        <v>210.6</v>
      </c>
      <c r="G22" s="5" t="n">
        <v>631.8</v>
      </c>
      <c r="H22" s="6" t="n">
        <v>3500000</v>
      </c>
      <c r="I22" s="5" t="n">
        <v>1263.6</v>
      </c>
      <c r="J22" s="5" t="n">
        <v>1137.24</v>
      </c>
      <c r="K22" s="6" t="n">
        <v>22744800</v>
      </c>
      <c r="L22" s="6" t="n">
        <v>46615.98846519479</v>
      </c>
      <c r="M22" s="6" t="n">
        <v>7225478.212105193</v>
      </c>
      <c r="N22" s="7" t="n">
        <v>0.3</v>
      </c>
      <c r="O22" s="5" t="n">
        <v>57.65175</v>
      </c>
      <c r="P22" s="5" t="n">
        <v>24.70789285714287</v>
      </c>
      <c r="Q22" s="5" t="n">
        <v>1.971</v>
      </c>
      <c r="R22" s="5" t="n">
        <v>84.33064285714286</v>
      </c>
      <c r="S22" s="6" t="n">
        <v>193960.4785714286</v>
      </c>
      <c r="T22" s="6" t="n">
        <v>2700194.963142857</v>
      </c>
      <c r="U22" s="6" t="n">
        <v>6520175.999999999</v>
      </c>
      <c r="V22" s="6" t="n">
        <v>4633200</v>
      </c>
      <c r="W22" s="6" t="n">
        <v>300000</v>
      </c>
      <c r="X22" s="6" t="n">
        <v>21573009.65381948</v>
      </c>
      <c r="Y22" s="6" t="n">
        <v>1171790.346180521</v>
      </c>
      <c r="Z22" s="7" t="n">
        <v>0.8</v>
      </c>
      <c r="AA22" s="6" t="n">
        <v>937432.2769444168</v>
      </c>
      <c r="AB22" s="6" t="n">
        <v>-2562567.723055583</v>
      </c>
      <c r="AC22" s="6" t="n">
        <v>234358.0692361041</v>
      </c>
      <c r="AD22" s="4" t="inlineStr">
        <is>
          <t>개인취미 대여 방식 추천</t>
        </is>
      </c>
      <c r="AE22" s="4" t="inlineStr">
        <is>
          <t>단기계약형</t>
        </is>
      </c>
    </row>
  </sheetData>
  <autoFilter ref="A4:AE22"/>
  <mergeCells count="1">
    <mergeCell ref="A1:AE1"/>
  </mergeCells>
  <conditionalFormatting sqref="Y5:Y22">
    <cfRule type="cellIs" priority="1" operator="lessThan" dxfId="0">
      <formula>0</formula>
    </cfRule>
  </conditionalFormatting>
  <conditionalFormatting sqref="AA5:AA22">
    <cfRule type="cellIs" priority="2" operator="lessThan" dxfId="0">
      <formula>0</formula>
    </cfRule>
  </conditionalFormatting>
  <conditionalFormatting sqref="AB5:AB22">
    <cfRule type="cellIs" priority="3" operator="lessThan" dxfId="0">
      <formula>0</formula>
    </cfRule>
  </conditionalFormatting>
  <conditionalFormatting sqref="AC5:AC22">
    <cfRule type="cellIs" priority="4" operator="lessThan" dxfId="0">
      <formula>0</formula>
    </cfRule>
  </conditionalFormatting>
  <conditionalFormatting sqref="AE5:AE22">
    <cfRule type="expression" priority="5" dxfId="1">
      <formula>$AE5="장기계약형"</formula>
    </cfRule>
    <cfRule type="expression" priority="6" dxfId="2">
      <formula>$AE5="단기계약형"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20" customWidth="1" min="4" max="4"/>
    <col width="24" customWidth="1" min="5" max="5"/>
    <col width="24" customWidth="1" min="6" max="6"/>
    <col width="20" customWidth="1" min="7" max="7"/>
    <col width="24" customWidth="1" min="8" max="8"/>
    <col width="20" customWidth="1" min="9" max="9"/>
    <col width="24" customWidth="1" min="10" max="10"/>
    <col width="20" customWidth="1" min="11" max="11"/>
    <col width="24" customWidth="1" min="12" max="12"/>
    <col width="11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 ht="34" customHeight="1">
      <c r="A1" s="1" t="inlineStr">
        <is>
          <t>시나리오별 월 비용 구성 및 운영비 대비 비율</t>
        </is>
      </c>
    </row>
    <row r="2">
      <c r="A2" s="2" t="inlineStr">
        <is>
          <t>비율 기준</t>
        </is>
      </c>
      <c r="B2" t="inlineStr">
        <is>
          <t>각 비용 ÷ 월 운영비</t>
        </is>
      </c>
      <c r="D2" s="2" t="inlineStr">
        <is>
          <t>기기 대여비 기준</t>
        </is>
      </c>
      <c r="E2" t="inlineStr">
        <is>
          <t>사용가능 바닥면적 × 22,000원/m²/month</t>
        </is>
      </c>
    </row>
    <row r="3"/>
    <row r="4" ht="34" customHeight="1">
      <c r="A4" s="3" t="inlineStr">
        <is>
          <t>시나리오ID</t>
        </is>
      </c>
      <c r="B4" s="3" t="inlineStr">
        <is>
          <t>사업장</t>
        </is>
      </c>
      <c r="C4" s="3" t="inlineStr">
        <is>
          <t>작물</t>
        </is>
      </c>
      <c r="D4" s="3" t="inlineStr">
        <is>
          <t>월 운영비(원)</t>
        </is>
      </c>
      <c r="E4" s="3" t="inlineStr">
        <is>
          <t>전기비(원)</t>
        </is>
      </c>
      <c r="F4" s="3" t="inlineStr">
        <is>
          <t>전기비 비율</t>
        </is>
      </c>
      <c r="G4" s="3" t="inlineStr">
        <is>
          <t>수도비(원)</t>
        </is>
      </c>
      <c r="H4" s="3" t="inlineStr">
        <is>
          <t>수도비 비율</t>
        </is>
      </c>
      <c r="I4" s="3" t="inlineStr">
        <is>
          <t>재료비(원)</t>
        </is>
      </c>
      <c r="J4" s="3" t="inlineStr">
        <is>
          <t>재료비 비율</t>
        </is>
      </c>
      <c r="K4" s="3" t="inlineStr">
        <is>
          <t>인건비(원)</t>
        </is>
      </c>
      <c r="L4" s="3" t="inlineStr">
        <is>
          <t>인건비 비율</t>
        </is>
      </c>
      <c r="M4" s="3" t="inlineStr">
        <is>
          <t>기기 대여비(원)</t>
        </is>
      </c>
      <c r="N4" s="3" t="inlineStr">
        <is>
          <t>기기 대여비 비율</t>
        </is>
      </c>
      <c r="O4" s="3" t="inlineStr">
        <is>
          <t>기타비용(원)</t>
        </is>
      </c>
      <c r="P4" s="3" t="inlineStr">
        <is>
          <t>기타비용 비율</t>
        </is>
      </c>
      <c r="Q4" s="3" t="inlineStr">
        <is>
          <t>비용 비율 합계</t>
        </is>
      </c>
    </row>
    <row r="5">
      <c r="A5" t="inlineStr">
        <is>
          <t>S001-상추</t>
        </is>
      </c>
      <c r="B5" t="inlineStr">
        <is>
          <t>부산 금정구 농장</t>
        </is>
      </c>
      <c r="C5" t="inlineStr">
        <is>
          <t>상추</t>
        </is>
      </c>
      <c r="D5" s="8" t="n">
        <v>18249388.90010861</v>
      </c>
      <c r="E5" s="8" t="n">
        <v>5547057.390584799</v>
      </c>
      <c r="F5" s="9">
        <f>IF($D5=0,0,E5/$D5)</f>
        <v/>
      </c>
      <c r="G5" s="8" t="n">
        <v>138661.4142857143</v>
      </c>
      <c r="H5" s="9">
        <f>IF($D5=0,0,G5/$D5)</f>
        <v/>
      </c>
      <c r="I5" s="8" t="n">
        <v>3317798.095238096</v>
      </c>
      <c r="J5" s="9">
        <f>IF($D5=0,0,I5/$D5)</f>
        <v/>
      </c>
      <c r="K5" s="8" t="n">
        <v>6600672</v>
      </c>
      <c r="L5" s="9">
        <f>IF($D5=0,0,K5/$D5)</f>
        <v/>
      </c>
      <c r="M5" s="8" t="n">
        <v>2345200</v>
      </c>
      <c r="N5" s="9">
        <f>IF($D5=0,0,M5/$D5)</f>
        <v/>
      </c>
      <c r="O5" s="8" t="n">
        <v>300000</v>
      </c>
      <c r="P5" s="9">
        <f>IF($D5=0,0,O5/$D5)</f>
        <v/>
      </c>
      <c r="Q5" s="9">
        <f>SUM(F5,H5,J5,L5,N5,P5)</f>
        <v/>
      </c>
    </row>
    <row r="6">
      <c r="A6" t="inlineStr">
        <is>
          <t>S001-딸기</t>
        </is>
      </c>
      <c r="B6" t="inlineStr">
        <is>
          <t>부산 금정구 농장</t>
        </is>
      </c>
      <c r="C6" t="inlineStr">
        <is>
          <t>딸기</t>
        </is>
      </c>
      <c r="D6" s="8" t="n">
        <v>7836284.525410254</v>
      </c>
      <c r="E6" s="8" t="n">
        <v>2003136.456362635</v>
      </c>
      <c r="F6" s="9">
        <f>IF($D6=0,0,E6/$D6)</f>
        <v/>
      </c>
      <c r="G6" s="8" t="n">
        <v>21471.21190476191</v>
      </c>
      <c r="H6" s="9">
        <f>IF($D6=0,0,G6/$D6)</f>
        <v/>
      </c>
      <c r="I6" s="8" t="n">
        <v>966252.8571428573</v>
      </c>
      <c r="J6" s="9">
        <f>IF($D6=0,0,I6/$D6)</f>
        <v/>
      </c>
      <c r="K6" s="8" t="n">
        <v>2200224</v>
      </c>
      <c r="L6" s="9">
        <f>IF($D6=0,0,K6/$D6)</f>
        <v/>
      </c>
      <c r="M6" s="8" t="n">
        <v>2345200</v>
      </c>
      <c r="N6" s="9">
        <f>IF($D6=0,0,M6/$D6)</f>
        <v/>
      </c>
      <c r="O6" s="8" t="n">
        <v>300000</v>
      </c>
      <c r="P6" s="9">
        <f>IF($D6=0,0,O6/$D6)</f>
        <v/>
      </c>
      <c r="Q6" s="9">
        <f>SUM(F6,H6,J6,L6,N6,P6)</f>
        <v/>
      </c>
    </row>
    <row r="7">
      <c r="A7" t="inlineStr">
        <is>
          <t>S001-바질</t>
        </is>
      </c>
      <c r="B7" t="inlineStr">
        <is>
          <t>부산 금정구 농장</t>
        </is>
      </c>
      <c r="C7" t="inlineStr">
        <is>
          <t>바질</t>
        </is>
      </c>
      <c r="D7" s="8" t="n">
        <v>11699283.30458616</v>
      </c>
      <c r="E7" s="8" t="n">
        <v>3151514.83910997</v>
      </c>
      <c r="F7" s="9">
        <f>IF($D7=0,0,E7/$D7)</f>
        <v/>
      </c>
      <c r="G7" s="8" t="n">
        <v>37451.69404761906</v>
      </c>
      <c r="H7" s="9">
        <f>IF($D7=0,0,G7/$D7)</f>
        <v/>
      </c>
      <c r="I7" s="8" t="n">
        <v>1904713.571428572</v>
      </c>
      <c r="J7" s="9">
        <f>IF($D7=0,0,I7/$D7)</f>
        <v/>
      </c>
      <c r="K7" s="8" t="n">
        <v>3960403.200000001</v>
      </c>
      <c r="L7" s="9">
        <f>IF($D7=0,0,K7/$D7)</f>
        <v/>
      </c>
      <c r="M7" s="8" t="n">
        <v>2345200</v>
      </c>
      <c r="N7" s="9">
        <f>IF($D7=0,0,M7/$D7)</f>
        <v/>
      </c>
      <c r="O7" s="8" t="n">
        <v>300000</v>
      </c>
      <c r="P7" s="9">
        <f>IF($D7=0,0,O7/$D7)</f>
        <v/>
      </c>
      <c r="Q7" s="9">
        <f>SUM(F7,H7,J7,L7,N7,P7)</f>
        <v/>
      </c>
    </row>
    <row r="8">
      <c r="A8" t="inlineStr">
        <is>
          <t>S001-애플민트</t>
        </is>
      </c>
      <c r="B8" t="inlineStr">
        <is>
          <t>부산 금정구 농장</t>
        </is>
      </c>
      <c r="C8" t="inlineStr">
        <is>
          <t>애플민트</t>
        </is>
      </c>
      <c r="D8" s="8" t="n">
        <v>11198515.61990596</v>
      </c>
      <c r="E8" s="8" t="n">
        <v>3796927.994191677</v>
      </c>
      <c r="F8" s="9">
        <f>IF($D8=0,0,E8/$D8)</f>
        <v/>
      </c>
      <c r="G8" s="8" t="n">
        <v>96046.79523809526</v>
      </c>
      <c r="H8" s="9">
        <f>IF($D8=0,0,G8/$D8)</f>
        <v/>
      </c>
      <c r="I8" s="8" t="n">
        <v>1668036.190476191</v>
      </c>
      <c r="J8" s="9">
        <f>IF($D8=0,0,I8/$D8)</f>
        <v/>
      </c>
      <c r="K8" s="8" t="n">
        <v>2992304.640000001</v>
      </c>
      <c r="L8" s="9">
        <f>IF($D8=0,0,K8/$D8)</f>
        <v/>
      </c>
      <c r="M8" s="8" t="n">
        <v>2345200</v>
      </c>
      <c r="N8" s="9">
        <f>IF($D8=0,0,M8/$D8)</f>
        <v/>
      </c>
      <c r="O8" s="8" t="n">
        <v>300000</v>
      </c>
      <c r="P8" s="9">
        <f>IF($D8=0,0,O8/$D8)</f>
        <v/>
      </c>
      <c r="Q8" s="9">
        <f>SUM(F8,H8,J8,L8,N8,P8)</f>
        <v/>
      </c>
    </row>
    <row r="9">
      <c r="A9" t="inlineStr">
        <is>
          <t>S001-쪽파</t>
        </is>
      </c>
      <c r="B9" t="inlineStr">
        <is>
          <t>부산 금정구 농장</t>
        </is>
      </c>
      <c r="C9" t="inlineStr">
        <is>
          <t>쪽파</t>
        </is>
      </c>
      <c r="D9" s="8" t="n">
        <v>11227764.18705065</v>
      </c>
      <c r="E9" s="8" t="n">
        <v>4126426.37514589</v>
      </c>
      <c r="F9" s="9">
        <f>IF($D9=0,0,E9/$D9)</f>
        <v/>
      </c>
      <c r="G9" s="8" t="n">
        <v>98177.52619047622</v>
      </c>
      <c r="H9" s="9">
        <f>IF($D9=0,0,G9/$D9)</f>
        <v/>
      </c>
      <c r="I9" s="8" t="n">
        <v>1057624.285714286</v>
      </c>
      <c r="J9" s="9">
        <f>IF($D9=0,0,I9/$D9)</f>
        <v/>
      </c>
      <c r="K9" s="8" t="n">
        <v>3300336</v>
      </c>
      <c r="L9" s="9">
        <f>IF($D9=0,0,K9/$D9)</f>
        <v/>
      </c>
      <c r="M9" s="8" t="n">
        <v>2345200</v>
      </c>
      <c r="N9" s="9">
        <f>IF($D9=0,0,M9/$D9)</f>
        <v/>
      </c>
      <c r="O9" s="8" t="n">
        <v>300000</v>
      </c>
      <c r="P9" s="9">
        <f>IF($D9=0,0,O9/$D9)</f>
        <v/>
      </c>
      <c r="Q9" s="9">
        <f>SUM(F9,H9,J9,L9,N9,P9)</f>
        <v/>
      </c>
    </row>
    <row r="10">
      <c r="A10" t="inlineStr">
        <is>
          <t>S001-병풀</t>
        </is>
      </c>
      <c r="B10" t="inlineStr">
        <is>
          <t>부산 금정구 농장</t>
        </is>
      </c>
      <c r="C10" t="inlineStr">
        <is>
          <t>병풀</t>
        </is>
      </c>
      <c r="D10" s="8" t="n">
        <v>11070170.55767386</v>
      </c>
      <c r="E10" s="8" t="n">
        <v>3659691.679769103</v>
      </c>
      <c r="F10" s="9">
        <f>IF($D10=0,0,E10/$D10)</f>
        <v/>
      </c>
      <c r="G10" s="8" t="n">
        <v>98177.52619047622</v>
      </c>
      <c r="H10" s="9">
        <f>IF($D10=0,0,G10/$D10)</f>
        <v/>
      </c>
      <c r="I10" s="8" t="n">
        <v>1366765.351714286</v>
      </c>
      <c r="J10" s="9">
        <f>IF($D10=0,0,I10/$D10)</f>
        <v/>
      </c>
      <c r="K10" s="8" t="n">
        <v>3300336</v>
      </c>
      <c r="L10" s="9">
        <f>IF($D10=0,0,K10/$D10)</f>
        <v/>
      </c>
      <c r="M10" s="8" t="n">
        <v>2345200</v>
      </c>
      <c r="N10" s="9">
        <f>IF($D10=0,0,M10/$D10)</f>
        <v/>
      </c>
      <c r="O10" s="8" t="n">
        <v>300000</v>
      </c>
      <c r="P10" s="9">
        <f>IF($D10=0,0,O10/$D10)</f>
        <v/>
      </c>
      <c r="Q10" s="9">
        <f>SUM(F10,H10,J10,L10,N10,P10)</f>
        <v/>
      </c>
    </row>
    <row r="11">
      <c r="A11" t="inlineStr">
        <is>
          <t>S002-상추</t>
        </is>
      </c>
      <c r="B11" t="inlineStr">
        <is>
          <t>부산 해운대 농장</t>
        </is>
      </c>
      <c r="C11" t="inlineStr">
        <is>
          <t>상추</t>
        </is>
      </c>
      <c r="D11" s="8" t="n">
        <v>7524439.611408105</v>
      </c>
      <c r="E11" s="8" t="n">
        <v>2233257.418550962</v>
      </c>
      <c r="F11" s="9">
        <f>IF($D11=0,0,E11/$D11)</f>
        <v/>
      </c>
      <c r="G11" s="8" t="n">
        <v>55802.76428571429</v>
      </c>
      <c r="H11" s="9">
        <f>IF($D11=0,0,G11/$D11)</f>
        <v/>
      </c>
      <c r="I11" s="8" t="n">
        <v>1335211.428571429</v>
      </c>
      <c r="J11" s="9">
        <f>IF($D11=0,0,I11/$D11)</f>
        <v/>
      </c>
      <c r="K11" s="8" t="n">
        <v>2656368</v>
      </c>
      <c r="L11" s="9">
        <f>IF($D11=0,0,K11/$D11)</f>
        <v/>
      </c>
      <c r="M11" s="8" t="n">
        <v>943800</v>
      </c>
      <c r="N11" s="9">
        <f>IF($D11=0,0,M11/$D11)</f>
        <v/>
      </c>
      <c r="O11" s="8" t="n">
        <v>300000</v>
      </c>
      <c r="P11" s="9">
        <f>IF($D11=0,0,O11/$D11)</f>
        <v/>
      </c>
      <c r="Q11" s="9">
        <f>SUM(F11,H11,J11,L11,N11,P11)</f>
        <v/>
      </c>
    </row>
    <row r="12">
      <c r="A12" t="inlineStr">
        <is>
          <t>S002-딸기</t>
        </is>
      </c>
      <c r="B12" t="inlineStr">
        <is>
          <t>부산 해운대 농장</t>
        </is>
      </c>
      <c r="C12" t="inlineStr">
        <is>
          <t>딸기</t>
        </is>
      </c>
      <c r="D12" s="8" t="n">
        <v>3333565.204774476</v>
      </c>
      <c r="E12" s="8" t="n">
        <v>806810.4940601898</v>
      </c>
      <c r="F12" s="9">
        <f>IF($D12=0,0,E12/$D12)</f>
        <v/>
      </c>
      <c r="G12" s="8" t="n">
        <v>8640.853571428572</v>
      </c>
      <c r="H12" s="9">
        <f>IF($D12=0,0,G12/$D12)</f>
        <v/>
      </c>
      <c r="I12" s="8" t="n">
        <v>388857.8571428572</v>
      </c>
      <c r="J12" s="9">
        <f>IF($D12=0,0,I12/$D12)</f>
        <v/>
      </c>
      <c r="K12" s="8" t="n">
        <v>885456</v>
      </c>
      <c r="L12" s="9">
        <f>IF($D12=0,0,K12/$D12)</f>
        <v/>
      </c>
      <c r="M12" s="8" t="n">
        <v>943800</v>
      </c>
      <c r="N12" s="9">
        <f>IF($D12=0,0,M12/$D12)</f>
        <v/>
      </c>
      <c r="O12" s="8" t="n">
        <v>300000</v>
      </c>
      <c r="P12" s="9">
        <f>IF($D12=0,0,O12/$D12)</f>
        <v/>
      </c>
      <c r="Q12" s="9">
        <f>SUM(F12,H12,J12,L12,N12,P12)</f>
        <v/>
      </c>
    </row>
    <row r="13">
      <c r="A13" t="inlineStr">
        <is>
          <t>S002-바질</t>
        </is>
      </c>
      <c r="B13" t="inlineStr">
        <is>
          <t>부산 해운대 농장</t>
        </is>
      </c>
      <c r="C13" t="inlineStr">
        <is>
          <t>바질</t>
        </is>
      </c>
      <c r="D13" s="8" t="n">
        <v>4888134.703928767</v>
      </c>
      <c r="E13" s="8" t="n">
        <v>1268910.809285909</v>
      </c>
      <c r="F13" s="9">
        <f>IF($D13=0,0,E13/$D13)</f>
        <v/>
      </c>
      <c r="G13" s="8" t="n">
        <v>15072.02321428571</v>
      </c>
      <c r="H13" s="9">
        <f>IF($D13=0,0,G13/$D13)</f>
        <v/>
      </c>
      <c r="I13" s="8" t="n">
        <v>766531.0714285715</v>
      </c>
      <c r="J13" s="9">
        <f>IF($D13=0,0,I13/$D13)</f>
        <v/>
      </c>
      <c r="K13" s="8" t="n">
        <v>1593820.8</v>
      </c>
      <c r="L13" s="9">
        <f>IF($D13=0,0,K13/$D13)</f>
        <v/>
      </c>
      <c r="M13" s="8" t="n">
        <v>943800</v>
      </c>
      <c r="N13" s="9">
        <f>IF($D13=0,0,M13/$D13)</f>
        <v/>
      </c>
      <c r="O13" s="8" t="n">
        <v>300000</v>
      </c>
      <c r="P13" s="9">
        <f>IF($D13=0,0,O13/$D13)</f>
        <v/>
      </c>
      <c r="Q13" s="9">
        <f>SUM(F13,H13,J13,L13,N13,P13)</f>
        <v/>
      </c>
    </row>
    <row r="14">
      <c r="A14" t="inlineStr">
        <is>
          <t>S002-애플민트</t>
        </is>
      </c>
      <c r="B14" t="inlineStr">
        <is>
          <t>부산 해운대 농장</t>
        </is>
      </c>
      <c r="C14" t="inlineStr">
        <is>
          <t>애플민트</t>
        </is>
      </c>
      <c r="D14" s="8" t="n">
        <v>4687694.941600469</v>
      </c>
      <c r="E14" s="8" t="n">
        <v>1529738.945886183</v>
      </c>
      <c r="F14" s="9">
        <f>IF($D14=0,0,E14/$D14)</f>
        <v/>
      </c>
      <c r="G14" s="8" t="n">
        <v>38652.97857142858</v>
      </c>
      <c r="H14" s="9">
        <f>IF($D14=0,0,G14/$D14)</f>
        <v/>
      </c>
      <c r="I14" s="8" t="n">
        <v>671282.8571428572</v>
      </c>
      <c r="J14" s="9">
        <f>IF($D14=0,0,I14/$D14)</f>
        <v/>
      </c>
      <c r="K14" s="8" t="n">
        <v>1204220.16</v>
      </c>
      <c r="L14" s="9">
        <f>IF($D14=0,0,K14/$D14)</f>
        <v/>
      </c>
      <c r="M14" s="8" t="n">
        <v>943800</v>
      </c>
      <c r="N14" s="9">
        <f>IF($D14=0,0,M14/$D14)</f>
        <v/>
      </c>
      <c r="O14" s="8" t="n">
        <v>300000</v>
      </c>
      <c r="P14" s="9">
        <f>IF($D14=0,0,O14/$D14)</f>
        <v/>
      </c>
      <c r="Q14" s="9">
        <f>SUM(F14,H14,J14,L14,N14,P14)</f>
        <v/>
      </c>
    </row>
    <row r="15">
      <c r="A15" t="inlineStr">
        <is>
          <t>S002-쪽파</t>
        </is>
      </c>
      <c r="B15" t="inlineStr">
        <is>
          <t>부산 해운대 농장</t>
        </is>
      </c>
      <c r="C15" t="inlineStr">
        <is>
          <t>쪽파</t>
        </is>
      </c>
      <c r="D15" s="8" t="n">
        <v>4698428.971044391</v>
      </c>
      <c r="E15" s="8" t="n">
        <v>1661305.217472963</v>
      </c>
      <c r="F15" s="9">
        <f>IF($D15=0,0,E15/$D15)</f>
        <v/>
      </c>
      <c r="G15" s="8" t="n">
        <v>39510.46785714286</v>
      </c>
      <c r="H15" s="9">
        <f>IF($D15=0,0,G15/$D15)</f>
        <v/>
      </c>
      <c r="I15" s="8" t="n">
        <v>425629.2857142857</v>
      </c>
      <c r="J15" s="9">
        <f>IF($D15=0,0,I15/$D15)</f>
        <v/>
      </c>
      <c r="K15" s="8" t="n">
        <v>1328184</v>
      </c>
      <c r="L15" s="9">
        <f>IF($D15=0,0,K15/$D15)</f>
        <v/>
      </c>
      <c r="M15" s="8" t="n">
        <v>943800</v>
      </c>
      <c r="N15" s="9">
        <f>IF($D15=0,0,M15/$D15)</f>
        <v/>
      </c>
      <c r="O15" s="8" t="n">
        <v>300000</v>
      </c>
      <c r="P15" s="9">
        <f>IF($D15=0,0,O15/$D15)</f>
        <v/>
      </c>
      <c r="Q15" s="9">
        <f>SUM(F15,H15,J15,L15,N15,P15)</f>
        <v/>
      </c>
    </row>
    <row r="16">
      <c r="A16" t="inlineStr">
        <is>
          <t>S002-병풀</t>
        </is>
      </c>
      <c r="B16" t="inlineStr">
        <is>
          <t>부산 해운대 농장</t>
        </is>
      </c>
      <c r="C16" t="inlineStr">
        <is>
          <t>병풀</t>
        </is>
      </c>
      <c r="D16" s="8" t="n">
        <v>4636226.647330377</v>
      </c>
      <c r="E16" s="8" t="n">
        <v>1474692.464758949</v>
      </c>
      <c r="F16" s="9">
        <f>IF($D16=0,0,E16/$D16)</f>
        <v/>
      </c>
      <c r="G16" s="8" t="n">
        <v>39510.46785714286</v>
      </c>
      <c r="H16" s="9">
        <f>IF($D16=0,0,G16/$D16)</f>
        <v/>
      </c>
      <c r="I16" s="8" t="n">
        <v>550039.7147142857</v>
      </c>
      <c r="J16" s="9">
        <f>IF($D16=0,0,I16/$D16)</f>
        <v/>
      </c>
      <c r="K16" s="8" t="n">
        <v>1328184</v>
      </c>
      <c r="L16" s="9">
        <f>IF($D16=0,0,K16/$D16)</f>
        <v/>
      </c>
      <c r="M16" s="8" t="n">
        <v>943800</v>
      </c>
      <c r="N16" s="9">
        <f>IF($D16=0,0,M16/$D16)</f>
        <v/>
      </c>
      <c r="O16" s="8" t="n">
        <v>300000</v>
      </c>
      <c r="P16" s="9">
        <f>IF($D16=0,0,O16/$D16)</f>
        <v/>
      </c>
      <c r="Q16" s="9">
        <f>SUM(F16,H16,J16,L16,N16,P16)</f>
        <v/>
      </c>
    </row>
    <row r="17">
      <c r="A17" t="inlineStr">
        <is>
          <t>S003-상추</t>
        </is>
      </c>
      <c r="B17" t="inlineStr">
        <is>
          <t>부산 사하구 농장</t>
        </is>
      </c>
      <c r="C17" t="inlineStr">
        <is>
          <t>상추</t>
        </is>
      </c>
      <c r="D17" s="8" t="n">
        <v>35758763.46576615</v>
      </c>
      <c r="E17" s="8" t="n">
        <v>10956596.33719473</v>
      </c>
      <c r="F17" s="9">
        <f>IF($D17=0,0,E17/$D17)</f>
        <v/>
      </c>
      <c r="G17" s="8" t="n">
        <v>273940.8428571429</v>
      </c>
      <c r="H17" s="9">
        <f>IF($D17=0,0,G17/$D17)</f>
        <v/>
      </c>
      <c r="I17" s="8" t="n">
        <v>6554674.285714285</v>
      </c>
      <c r="J17" s="9">
        <f>IF($D17=0,0,I17/$D17)</f>
        <v/>
      </c>
      <c r="K17" s="8" t="n">
        <v>13040352</v>
      </c>
      <c r="L17" s="9">
        <f>IF($D17=0,0,K17/$D17)</f>
        <v/>
      </c>
      <c r="M17" s="8" t="n">
        <v>4633200</v>
      </c>
      <c r="N17" s="9">
        <f>IF($D17=0,0,M17/$D17)</f>
        <v/>
      </c>
      <c r="O17" s="8" t="n">
        <v>300000</v>
      </c>
      <c r="P17" s="9">
        <f>IF($D17=0,0,O17/$D17)</f>
        <v/>
      </c>
      <c r="Q17" s="9">
        <f>SUM(F17,H17,J17,L17,N17,P17)</f>
        <v/>
      </c>
    </row>
    <row r="18">
      <c r="A18" t="inlineStr">
        <is>
          <t>S003-딸기</t>
        </is>
      </c>
      <c r="B18" t="inlineStr">
        <is>
          <t>부산 사하구 농장</t>
        </is>
      </c>
      <c r="C18" t="inlineStr">
        <is>
          <t>딸기</t>
        </is>
      </c>
      <c r="D18" s="8" t="n">
        <v>15187110.04366313</v>
      </c>
      <c r="E18" s="8" t="n">
        <v>3955768.736520273</v>
      </c>
      <c r="F18" s="9">
        <f>IF($D18=0,0,E18/$D18)</f>
        <v/>
      </c>
      <c r="G18" s="8" t="n">
        <v>42418.73571428572</v>
      </c>
      <c r="H18" s="9">
        <f>IF($D18=0,0,G18/$D18)</f>
        <v/>
      </c>
      <c r="I18" s="8" t="n">
        <v>1908938.571428571</v>
      </c>
      <c r="J18" s="9">
        <f>IF($D18=0,0,I18/$D18)</f>
        <v/>
      </c>
      <c r="K18" s="8" t="n">
        <v>4346784</v>
      </c>
      <c r="L18" s="9">
        <f>IF($D18=0,0,K18/$D18)</f>
        <v/>
      </c>
      <c r="M18" s="8" t="n">
        <v>4633200</v>
      </c>
      <c r="N18" s="9">
        <f>IF($D18=0,0,M18/$D18)</f>
        <v/>
      </c>
      <c r="O18" s="8" t="n">
        <v>300000</v>
      </c>
      <c r="P18" s="9">
        <f>IF($D18=0,0,O18/$D18)</f>
        <v/>
      </c>
      <c r="Q18" s="9">
        <f>SUM(F18,H18,J18,L18,N18,P18)</f>
        <v/>
      </c>
    </row>
    <row r="19">
      <c r="A19" t="inlineStr">
        <is>
          <t>S003-바질</t>
        </is>
      </c>
      <c r="B19" t="inlineStr">
        <is>
          <t>부산 사하구 농장</t>
        </is>
      </c>
      <c r="C19" t="inlineStr">
        <is>
          <t>바질</t>
        </is>
      </c>
      <c r="D19" s="8" t="n">
        <v>22819015.82412186</v>
      </c>
      <c r="E19" s="8" t="n">
        <v>6224643.977693288</v>
      </c>
      <c r="F19" s="9">
        <f>IF($D19=0,0,E19/$D19)</f>
        <v/>
      </c>
      <c r="G19" s="8" t="n">
        <v>73989.93214285716</v>
      </c>
      <c r="H19" s="9">
        <f>IF($D19=0,0,G19/$D19)</f>
        <v/>
      </c>
      <c r="I19" s="8" t="n">
        <v>3762970.714285715</v>
      </c>
      <c r="J19" s="9">
        <f>IF($D19=0,0,I19/$D19)</f>
        <v/>
      </c>
      <c r="K19" s="8" t="n">
        <v>7824211.200000001</v>
      </c>
      <c r="L19" s="9">
        <f>IF($D19=0,0,K19/$D19)</f>
        <v/>
      </c>
      <c r="M19" s="8" t="n">
        <v>4633200</v>
      </c>
      <c r="N19" s="9">
        <f>IF($D19=0,0,M19/$D19)</f>
        <v/>
      </c>
      <c r="O19" s="8" t="n">
        <v>300000</v>
      </c>
      <c r="P19" s="9">
        <f>IF($D19=0,0,O19/$D19)</f>
        <v/>
      </c>
      <c r="Q19" s="9">
        <f>SUM(F19,H19,J19,L19,N19,P19)</f>
        <v/>
      </c>
    </row>
    <row r="20">
      <c r="A20" t="inlineStr">
        <is>
          <t>S003-애플민트</t>
        </is>
      </c>
      <c r="B20" t="inlineStr">
        <is>
          <t>부산 사하구 농장</t>
        </is>
      </c>
      <c r="C20" t="inlineStr">
        <is>
          <t>애플민트</t>
        </is>
      </c>
      <c r="D20" s="8" t="n">
        <v>21827018.600261</v>
      </c>
      <c r="E20" s="8" t="n">
        <v>7497052.803118148</v>
      </c>
      <c r="F20" s="9">
        <f>IF($D20=0,0,E20/$D20)</f>
        <v/>
      </c>
      <c r="G20" s="8" t="n">
        <v>189750.9857142858</v>
      </c>
      <c r="H20" s="9">
        <f>IF($D20=0,0,G20/$D20)</f>
        <v/>
      </c>
      <c r="I20" s="8" t="n">
        <v>3295388.571428572</v>
      </c>
      <c r="J20" s="9">
        <f>IF($D20=0,0,I20/$D20)</f>
        <v/>
      </c>
      <c r="K20" s="8" t="n">
        <v>5911626.24</v>
      </c>
      <c r="L20" s="9">
        <f>IF($D20=0,0,K20/$D20)</f>
        <v/>
      </c>
      <c r="M20" s="8" t="n">
        <v>4633200</v>
      </c>
      <c r="N20" s="9">
        <f>IF($D20=0,0,M20/$D20)</f>
        <v/>
      </c>
      <c r="O20" s="8" t="n">
        <v>300000</v>
      </c>
      <c r="P20" s="9">
        <f>IF($D20=0,0,O20/$D20)</f>
        <v/>
      </c>
      <c r="Q20" s="9">
        <f>SUM(F20,H20,J20,L20,N20,P20)</f>
        <v/>
      </c>
    </row>
    <row r="21">
      <c r="A21" t="inlineStr">
        <is>
          <t>S003-쪽파</t>
        </is>
      </c>
      <c r="B21" t="inlineStr">
        <is>
          <t>부산 사하구 농장</t>
        </is>
      </c>
      <c r="C21" t="inlineStr">
        <is>
          <t>쪽파</t>
        </is>
      </c>
      <c r="D21" s="8" t="n">
        <v>21887350.35080636</v>
      </c>
      <c r="E21" s="8" t="n">
        <v>8150561.015092068</v>
      </c>
      <c r="F21" s="9">
        <f>IF($D21=0,0,E21/$D21)</f>
        <v/>
      </c>
      <c r="G21" s="8" t="n">
        <v>193960.4785714286</v>
      </c>
      <c r="H21" s="9">
        <f>IF($D21=0,0,G21/$D21)</f>
        <v/>
      </c>
      <c r="I21" s="8" t="n">
        <v>2089452.857142857</v>
      </c>
      <c r="J21" s="9">
        <f>IF($D21=0,0,I21/$D21)</f>
        <v/>
      </c>
      <c r="K21" s="8" t="n">
        <v>6520175.999999999</v>
      </c>
      <c r="L21" s="9">
        <f>IF($D21=0,0,K21/$D21)</f>
        <v/>
      </c>
      <c r="M21" s="8" t="n">
        <v>4633200</v>
      </c>
      <c r="N21" s="9">
        <f>IF($D21=0,0,M21/$D21)</f>
        <v/>
      </c>
      <c r="O21" s="8" t="n">
        <v>300000</v>
      </c>
      <c r="P21" s="9">
        <f>IF($D21=0,0,O21/$D21)</f>
        <v/>
      </c>
      <c r="Q21" s="9">
        <f>SUM(F21,H21,J21,L21,N21,P21)</f>
        <v/>
      </c>
    </row>
    <row r="22">
      <c r="A22" t="inlineStr">
        <is>
          <t>S003-병풀</t>
        </is>
      </c>
      <c r="B22" t="inlineStr">
        <is>
          <t>부산 사하구 농장</t>
        </is>
      </c>
      <c r="C22" t="inlineStr">
        <is>
          <t>병풀</t>
        </is>
      </c>
      <c r="D22" s="8" t="n">
        <v>21573009.65381948</v>
      </c>
      <c r="E22" s="8" t="n">
        <v>7225478.212105193</v>
      </c>
      <c r="F22" s="9">
        <f>IF($D22=0,0,E22/$D22)</f>
        <v/>
      </c>
      <c r="G22" s="8" t="n">
        <v>193960.4785714286</v>
      </c>
      <c r="H22" s="9">
        <f>IF($D22=0,0,G22/$D22)</f>
        <v/>
      </c>
      <c r="I22" s="8" t="n">
        <v>2700194.963142857</v>
      </c>
      <c r="J22" s="9">
        <f>IF($D22=0,0,I22/$D22)</f>
        <v/>
      </c>
      <c r="K22" s="8" t="n">
        <v>6520175.999999999</v>
      </c>
      <c r="L22" s="9">
        <f>IF($D22=0,0,K22/$D22)</f>
        <v/>
      </c>
      <c r="M22" s="8" t="n">
        <v>4633200</v>
      </c>
      <c r="N22" s="9">
        <f>IF($D22=0,0,M22/$D22)</f>
        <v/>
      </c>
      <c r="O22" s="8" t="n">
        <v>300000</v>
      </c>
      <c r="P22" s="9">
        <f>IF($D22=0,0,O22/$D22)</f>
        <v/>
      </c>
      <c r="Q22" s="9">
        <f>SUM(F22,H22,J22,L22,N22,P22)</f>
        <v/>
      </c>
    </row>
  </sheetData>
  <mergeCells count="1">
    <mergeCell ref="A1:Q1"/>
  </mergeCells>
  <conditionalFormatting sqref="Q5:Q22">
    <cfRule type="expression" priority="1" dxfId="0">
      <formula>ABS($Q5-1)&gt;0.000001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26" customWidth="1" min="5" max="5"/>
    <col width="21" customWidth="1" min="6" max="6"/>
    <col width="12" customWidth="1" min="7" max="7"/>
  </cols>
  <sheetData>
    <row r="1" ht="34" customHeight="1">
      <c r="A1" s="1" t="inlineStr">
        <is>
          <t>계산 블록 1~10 상세 결과</t>
        </is>
      </c>
    </row>
    <row r="2"/>
    <row r="3" ht="34" customHeight="1">
      <c r="A3" s="3" t="inlineStr">
        <is>
          <t>시나리오ID</t>
        </is>
      </c>
      <c r="B3" s="3" t="inlineStr">
        <is>
          <t>사업장</t>
        </is>
      </c>
      <c r="C3" s="3" t="inlineStr">
        <is>
          <t>작물</t>
        </is>
      </c>
      <c r="D3" s="3" t="inlineStr">
        <is>
          <t>계산 블록</t>
        </is>
      </c>
      <c r="E3" s="3" t="inlineStr">
        <is>
          <t>항목</t>
        </is>
      </c>
      <c r="F3" s="3" t="inlineStr">
        <is>
          <t>값</t>
        </is>
      </c>
      <c r="G3" s="3" t="inlineStr">
        <is>
          <t>단위</t>
        </is>
      </c>
    </row>
    <row r="4">
      <c r="A4" t="inlineStr">
        <is>
          <t>S001-상추</t>
        </is>
      </c>
      <c r="B4" t="inlineStr">
        <is>
          <t>부산 금정구 농장</t>
        </is>
      </c>
      <c r="C4" t="inlineStr">
        <is>
          <t>상추</t>
        </is>
      </c>
      <c r="D4" t="inlineStr">
        <is>
          <t>1. 공간</t>
        </is>
      </c>
      <c r="E4" t="inlineStr">
        <is>
          <t>공실 전체면적</t>
        </is>
      </c>
      <c r="F4" s="10" t="n">
        <v>164</v>
      </c>
      <c r="G4" t="inlineStr">
        <is>
          <t>m²</t>
        </is>
      </c>
    </row>
    <row r="5">
      <c r="A5" t="inlineStr">
        <is>
          <t>S001-상추</t>
        </is>
      </c>
      <c r="B5" t="inlineStr">
        <is>
          <t>부산 금정구 농장</t>
        </is>
      </c>
      <c r="C5" t="inlineStr">
        <is>
          <t>상추</t>
        </is>
      </c>
      <c r="D5" t="inlineStr">
        <is>
          <t>1. 공간</t>
        </is>
      </c>
      <c r="E5" t="inlineStr">
        <is>
          <t>사용가능 바닥면적</t>
        </is>
      </c>
      <c r="F5" s="10" t="n">
        <v>106.6</v>
      </c>
      <c r="G5" t="inlineStr">
        <is>
          <t>m²</t>
        </is>
      </c>
    </row>
    <row r="6">
      <c r="A6" t="inlineStr">
        <is>
          <t>S001-상추</t>
        </is>
      </c>
      <c r="B6" t="inlineStr">
        <is>
          <t>부산 금정구 농장</t>
        </is>
      </c>
      <c r="C6" t="inlineStr">
        <is>
          <t>상추</t>
        </is>
      </c>
      <c r="D6" t="inlineStr">
        <is>
          <t>1. 공간</t>
        </is>
      </c>
      <c r="E6" t="inlineStr">
        <is>
          <t>작물별 모듈 층 수</t>
        </is>
      </c>
      <c r="F6" s="8" t="n">
        <v>4</v>
      </c>
      <c r="G6" t="inlineStr">
        <is>
          <t>층</t>
        </is>
      </c>
    </row>
    <row r="7">
      <c r="A7" t="inlineStr">
        <is>
          <t>S001-상추</t>
        </is>
      </c>
      <c r="B7" t="inlineStr">
        <is>
          <t>부산 금정구 농장</t>
        </is>
      </c>
      <c r="C7" t="inlineStr">
        <is>
          <t>상추</t>
        </is>
      </c>
      <c r="D7" t="inlineStr">
        <is>
          <t>1. 공간</t>
        </is>
      </c>
      <c r="E7" t="inlineStr">
        <is>
          <t>재배면적</t>
        </is>
      </c>
      <c r="F7" s="10" t="n">
        <v>426.4</v>
      </c>
      <c r="G7" t="inlineStr">
        <is>
          <t>m²</t>
        </is>
      </c>
    </row>
    <row r="8">
      <c r="A8" t="inlineStr">
        <is>
          <t>S001-상추</t>
        </is>
      </c>
      <c r="B8" t="inlineStr">
        <is>
          <t>부산 금정구 농장</t>
        </is>
      </c>
      <c r="C8" t="inlineStr">
        <is>
          <t>상추</t>
        </is>
      </c>
      <c r="D8" t="inlineStr">
        <is>
          <t>1. 공간</t>
        </is>
      </c>
      <c r="E8" t="inlineStr">
        <is>
          <t>공간 체적</t>
        </is>
      </c>
      <c r="F8" s="10" t="n">
        <v>410</v>
      </c>
      <c r="G8" t="inlineStr">
        <is>
          <t>m³</t>
        </is>
      </c>
    </row>
    <row r="9">
      <c r="A9" t="inlineStr">
        <is>
          <t>S001-상추</t>
        </is>
      </c>
      <c r="B9" t="inlineStr">
        <is>
          <t>부산 금정구 농장</t>
        </is>
      </c>
      <c r="C9" t="inlineStr">
        <is>
          <t>상추</t>
        </is>
      </c>
      <c r="D9" t="inlineStr">
        <is>
          <t>2. 생산</t>
        </is>
      </c>
      <c r="E9" t="inlineStr">
        <is>
          <t>월 총생산량</t>
        </is>
      </c>
      <c r="F9" s="10" t="n">
        <v>1279.2</v>
      </c>
      <c r="G9" t="inlineStr">
        <is>
          <t>kg</t>
        </is>
      </c>
    </row>
    <row r="10">
      <c r="A10" t="inlineStr">
        <is>
          <t>S001-상추</t>
        </is>
      </c>
      <c r="B10" t="inlineStr">
        <is>
          <t>부산 금정구 농장</t>
        </is>
      </c>
      <c r="C10" t="inlineStr">
        <is>
          <t>상추</t>
        </is>
      </c>
      <c r="D10" t="inlineStr">
        <is>
          <t>2. 생산</t>
        </is>
      </c>
      <c r="E10" t="inlineStr">
        <is>
          <t>월 판매량</t>
        </is>
      </c>
      <c r="F10" s="10" t="n">
        <v>1151.28</v>
      </c>
      <c r="G10" t="inlineStr">
        <is>
          <t>kg</t>
        </is>
      </c>
    </row>
    <row r="11">
      <c r="A11" t="inlineStr">
        <is>
          <t>S001-상추</t>
        </is>
      </c>
      <c r="B11" t="inlineStr">
        <is>
          <t>부산 금정구 농장</t>
        </is>
      </c>
      <c r="C11" t="inlineStr">
        <is>
          <t>상추</t>
        </is>
      </c>
      <c r="D11" t="inlineStr">
        <is>
          <t>3. 매출</t>
        </is>
      </c>
      <c r="E11" t="inlineStr">
        <is>
          <t>판매가격</t>
        </is>
      </c>
      <c r="F11" s="8" t="n">
        <v>8000</v>
      </c>
      <c r="G11" t="inlineStr">
        <is>
          <t>원/kg</t>
        </is>
      </c>
    </row>
    <row r="12">
      <c r="A12" t="inlineStr">
        <is>
          <t>S001-상추</t>
        </is>
      </c>
      <c r="B12" t="inlineStr">
        <is>
          <t>부산 금정구 농장</t>
        </is>
      </c>
      <c r="C12" t="inlineStr">
        <is>
          <t>상추</t>
        </is>
      </c>
      <c r="D12" t="inlineStr">
        <is>
          <t>3. 매출</t>
        </is>
      </c>
      <c r="E12" t="inlineStr">
        <is>
          <t>월 매출</t>
        </is>
      </c>
      <c r="F12" s="8" t="n">
        <v>9210240</v>
      </c>
      <c r="G12" t="inlineStr">
        <is>
          <t>원</t>
        </is>
      </c>
    </row>
    <row r="13">
      <c r="A13" t="inlineStr">
        <is>
          <t>S001-상추</t>
        </is>
      </c>
      <c r="B13" t="inlineStr">
        <is>
          <t>부산 금정구 농장</t>
        </is>
      </c>
      <c r="C13" t="inlineStr">
        <is>
          <t>상추</t>
        </is>
      </c>
      <c r="D13" t="inlineStr">
        <is>
          <t>4. 조명·냉난방</t>
        </is>
      </c>
      <c r="E13" t="inlineStr">
        <is>
          <t>필요 조명전력</t>
        </is>
      </c>
      <c r="F13" s="10" t="n">
        <v>30457.14285714286</v>
      </c>
      <c r="G13" t="inlineStr">
        <is>
          <t>W</t>
        </is>
      </c>
    </row>
    <row r="14">
      <c r="A14" t="inlineStr">
        <is>
          <t>S001-상추</t>
        </is>
      </c>
      <c r="B14" t="inlineStr">
        <is>
          <t>부산 금정구 농장</t>
        </is>
      </c>
      <c r="C14" t="inlineStr">
        <is>
          <t>상추</t>
        </is>
      </c>
      <c r="D14" t="inlineStr">
        <is>
          <t>4. 조명·냉난방</t>
        </is>
      </c>
      <c r="E14" t="inlineStr">
        <is>
          <t>월 조명전력량</t>
        </is>
      </c>
      <c r="F14" s="10" t="n">
        <v>13896.07142857143</v>
      </c>
      <c r="G14" t="inlineStr">
        <is>
          <t>kWh</t>
        </is>
      </c>
    </row>
    <row r="15">
      <c r="A15" t="inlineStr">
        <is>
          <t>S001-상추</t>
        </is>
      </c>
      <c r="B15" t="inlineStr">
        <is>
          <t>부산 금정구 농장</t>
        </is>
      </c>
      <c r="C15" t="inlineStr">
        <is>
          <t>상추</t>
        </is>
      </c>
      <c r="D15" t="inlineStr">
        <is>
          <t>5. 습도</t>
        </is>
      </c>
      <c r="E15" t="inlineStr">
        <is>
          <t>월 증발산량</t>
        </is>
      </c>
      <c r="F15" s="10" t="n">
        <v>41502.93333333334</v>
      </c>
      <c r="G15" t="inlineStr">
        <is>
          <t>kg</t>
        </is>
      </c>
    </row>
    <row r="16">
      <c r="A16" t="inlineStr">
        <is>
          <t>S001-상추</t>
        </is>
      </c>
      <c r="B16" t="inlineStr">
        <is>
          <t>부산 금정구 농장</t>
        </is>
      </c>
      <c r="C16" t="inlineStr">
        <is>
          <t>상추</t>
        </is>
      </c>
      <c r="D16" t="inlineStr">
        <is>
          <t>6. 전기비</t>
        </is>
      </c>
      <c r="E16" t="inlineStr">
        <is>
          <t>월평균 총 전력량</t>
        </is>
      </c>
      <c r="F16" s="10" t="n">
        <v>35787.46703603096</v>
      </c>
      <c r="G16" t="inlineStr">
        <is>
          <t>kWh</t>
        </is>
      </c>
    </row>
    <row r="17">
      <c r="A17" t="inlineStr">
        <is>
          <t>S001-상추</t>
        </is>
      </c>
      <c r="B17" t="inlineStr">
        <is>
          <t>부산 금정구 농장</t>
        </is>
      </c>
      <c r="C17" t="inlineStr">
        <is>
          <t>상추</t>
        </is>
      </c>
      <c r="D17" t="inlineStr">
        <is>
          <t>6. 전기비</t>
        </is>
      </c>
      <c r="E17" t="inlineStr">
        <is>
          <t>월 전기비</t>
        </is>
      </c>
      <c r="F17" s="8" t="n">
        <v>5547057.390584799</v>
      </c>
      <c r="G17" t="inlineStr">
        <is>
          <t>원</t>
        </is>
      </c>
    </row>
    <row r="18">
      <c r="A18" t="inlineStr">
        <is>
          <t>S001-상추</t>
        </is>
      </c>
      <c r="B18" t="inlineStr">
        <is>
          <t>부산 금정구 농장</t>
        </is>
      </c>
      <c r="C18" t="inlineStr">
        <is>
          <t>상추</t>
        </is>
      </c>
      <c r="D18" t="inlineStr">
        <is>
          <t>7. 수도비</t>
        </is>
      </c>
      <c r="E18" t="inlineStr">
        <is>
          <t>배액률</t>
        </is>
      </c>
      <c r="F18" s="11" t="n">
        <v>0.3</v>
      </c>
      <c r="G18" t="inlineStr">
        <is>
          <t>%</t>
        </is>
      </c>
    </row>
    <row r="19">
      <c r="A19" t="inlineStr">
        <is>
          <t>S001-상추</t>
        </is>
      </c>
      <c r="B19" t="inlineStr">
        <is>
          <t>부산 금정구 농장</t>
        </is>
      </c>
      <c r="C19" t="inlineStr">
        <is>
          <t>상추</t>
        </is>
      </c>
      <c r="D19" t="inlineStr">
        <is>
          <t>7. 수도비</t>
        </is>
      </c>
      <c r="E19" t="inlineStr">
        <is>
          <t>월 작물 순소비량</t>
        </is>
      </c>
      <c r="F19" s="10" t="n">
        <v>41.50293333333334</v>
      </c>
      <c r="G19" t="inlineStr">
        <is>
          <t>m³</t>
        </is>
      </c>
    </row>
    <row r="20">
      <c r="A20" t="inlineStr">
        <is>
          <t>S001-상추</t>
        </is>
      </c>
      <c r="B20" t="inlineStr">
        <is>
          <t>부산 금정구 농장</t>
        </is>
      </c>
      <c r="C20" t="inlineStr">
        <is>
          <t>상추</t>
        </is>
      </c>
      <c r="D20" t="inlineStr">
        <is>
          <t>7. 수도비</t>
        </is>
      </c>
      <c r="E20" t="inlineStr">
        <is>
          <t>월 배액량</t>
        </is>
      </c>
      <c r="F20" s="10" t="n">
        <v>17.78697142857144</v>
      </c>
      <c r="G20" t="inlineStr">
        <is>
          <t>m³</t>
        </is>
      </c>
    </row>
    <row r="21">
      <c r="A21" t="inlineStr">
        <is>
          <t>S001-상추</t>
        </is>
      </c>
      <c r="B21" t="inlineStr">
        <is>
          <t>부산 금정구 농장</t>
        </is>
      </c>
      <c r="C21" t="inlineStr">
        <is>
          <t>상추</t>
        </is>
      </c>
      <c r="D21" t="inlineStr">
        <is>
          <t>7. 수도비</t>
        </is>
      </c>
      <c r="E21" t="inlineStr">
        <is>
          <t>월 작물 관수량</t>
        </is>
      </c>
      <c r="F21" s="10" t="n">
        <v>59.28990476190478</v>
      </c>
      <c r="G21" t="inlineStr">
        <is>
          <t>m³</t>
        </is>
      </c>
    </row>
    <row r="22">
      <c r="A22" t="inlineStr">
        <is>
          <t>S001-상추</t>
        </is>
      </c>
      <c r="B22" t="inlineStr">
        <is>
          <t>부산 금정구 농장</t>
        </is>
      </c>
      <c r="C22" t="inlineStr">
        <is>
          <t>상추</t>
        </is>
      </c>
      <c r="D22" t="inlineStr">
        <is>
          <t>7. 수도비</t>
        </is>
      </c>
      <c r="E22" t="inlineStr">
        <is>
          <t>월 기타 용수량</t>
        </is>
      </c>
      <c r="F22" s="10" t="n">
        <v>0.9976666666666668</v>
      </c>
      <c r="G22" t="inlineStr">
        <is>
          <t>m³</t>
        </is>
      </c>
    </row>
    <row r="23">
      <c r="A23" t="inlineStr">
        <is>
          <t>S001-상추</t>
        </is>
      </c>
      <c r="B23" t="inlineStr">
        <is>
          <t>부산 금정구 농장</t>
        </is>
      </c>
      <c r="C23" t="inlineStr">
        <is>
          <t>상추</t>
        </is>
      </c>
      <c r="D23" t="inlineStr">
        <is>
          <t>7. 수도비</t>
        </is>
      </c>
      <c r="E23" t="inlineStr">
        <is>
          <t>월 총 용수량</t>
        </is>
      </c>
      <c r="F23" s="10" t="n">
        <v>60.28757142857144</v>
      </c>
      <c r="G23" t="inlineStr">
        <is>
          <t>m³</t>
        </is>
      </c>
    </row>
    <row r="24">
      <c r="A24" t="inlineStr">
        <is>
          <t>S001-상추</t>
        </is>
      </c>
      <c r="B24" t="inlineStr">
        <is>
          <t>부산 금정구 농장</t>
        </is>
      </c>
      <c r="C24" t="inlineStr">
        <is>
          <t>상추</t>
        </is>
      </c>
      <c r="D24" t="inlineStr">
        <is>
          <t>7. 수도비</t>
        </is>
      </c>
      <c r="E24" t="inlineStr">
        <is>
          <t>월 수도비</t>
        </is>
      </c>
      <c r="F24" s="8" t="n">
        <v>138661.4142857143</v>
      </c>
      <c r="G24" t="inlineStr">
        <is>
          <t>원</t>
        </is>
      </c>
    </row>
    <row r="25">
      <c r="A25" t="inlineStr">
        <is>
          <t>S001-상추</t>
        </is>
      </c>
      <c r="B25" t="inlineStr">
        <is>
          <t>부산 금정구 농장</t>
        </is>
      </c>
      <c r="C25" t="inlineStr">
        <is>
          <t>상추</t>
        </is>
      </c>
      <c r="D25" t="inlineStr">
        <is>
          <t>8. 재료비</t>
        </is>
      </c>
      <c r="E25" t="inlineStr">
        <is>
          <t>면적당 월 환산 모종비</t>
        </is>
      </c>
      <c r="F25" s="8" t="n">
        <v>5000</v>
      </c>
      <c r="G25" t="inlineStr">
        <is>
          <t>원/m²/month</t>
        </is>
      </c>
    </row>
    <row r="26">
      <c r="A26" t="inlineStr">
        <is>
          <t>S001-상추</t>
        </is>
      </c>
      <c r="B26" t="inlineStr">
        <is>
          <t>부산 금정구 농장</t>
        </is>
      </c>
      <c r="C26" t="inlineStr">
        <is>
          <t>상추</t>
        </is>
      </c>
      <c r="D26" t="inlineStr">
        <is>
          <t>8. 재료비</t>
        </is>
      </c>
      <c r="E26" t="inlineStr">
        <is>
          <t>월 모종비</t>
        </is>
      </c>
      <c r="F26" s="8" t="n">
        <v>2132000</v>
      </c>
      <c r="G26" t="inlineStr">
        <is>
          <t>원</t>
        </is>
      </c>
    </row>
    <row r="27">
      <c r="A27" t="inlineStr">
        <is>
          <t>S001-상추</t>
        </is>
      </c>
      <c r="B27" t="inlineStr">
        <is>
          <t>부산 금정구 농장</t>
        </is>
      </c>
      <c r="C27" t="inlineStr">
        <is>
          <t>상추</t>
        </is>
      </c>
      <c r="D27" t="inlineStr">
        <is>
          <t>8. 재료비</t>
        </is>
      </c>
      <c r="E27" t="inlineStr">
        <is>
          <t>월 양액 사용량</t>
        </is>
      </c>
      <c r="F27" s="10" t="n">
        <v>59.28990476190478</v>
      </c>
      <c r="G27" t="inlineStr">
        <is>
          <t>m³</t>
        </is>
      </c>
    </row>
    <row r="28">
      <c r="A28" t="inlineStr">
        <is>
          <t>S001-상추</t>
        </is>
      </c>
      <c r="B28" t="inlineStr">
        <is>
          <t>부산 금정구 농장</t>
        </is>
      </c>
      <c r="C28" t="inlineStr">
        <is>
          <t>상추</t>
        </is>
      </c>
      <c r="D28" t="inlineStr">
        <is>
          <t>8. 재료비</t>
        </is>
      </c>
      <c r="E28" t="inlineStr">
        <is>
          <t>월 양액비</t>
        </is>
      </c>
      <c r="F28" s="8" t="n">
        <v>1185798.095238096</v>
      </c>
      <c r="G28" t="inlineStr">
        <is>
          <t>원</t>
        </is>
      </c>
    </row>
    <row r="29">
      <c r="A29" t="inlineStr">
        <is>
          <t>S001-상추</t>
        </is>
      </c>
      <c r="B29" t="inlineStr">
        <is>
          <t>부산 금정구 농장</t>
        </is>
      </c>
      <c r="C29" t="inlineStr">
        <is>
          <t>상추</t>
        </is>
      </c>
      <c r="D29" t="inlineStr">
        <is>
          <t>8. 재료비</t>
        </is>
      </c>
      <c r="E29" t="inlineStr">
        <is>
          <t>월 재료비</t>
        </is>
      </c>
      <c r="F29" s="8" t="n">
        <v>3317798.095238096</v>
      </c>
      <c r="G29" t="inlineStr">
        <is>
          <t>원</t>
        </is>
      </c>
    </row>
    <row r="30">
      <c r="A30" t="inlineStr">
        <is>
          <t>S001-상추</t>
        </is>
      </c>
      <c r="B30" t="inlineStr">
        <is>
          <t>부산 금정구 농장</t>
        </is>
      </c>
      <c r="C30" t="inlineStr">
        <is>
          <t>상추</t>
        </is>
      </c>
      <c r="D30" t="inlineStr">
        <is>
          <t>9. 인건비</t>
        </is>
      </c>
      <c r="E30" t="inlineStr">
        <is>
          <t>월 노동시간</t>
        </is>
      </c>
      <c r="F30" s="10" t="n">
        <v>639.6</v>
      </c>
      <c r="G30" t="inlineStr">
        <is>
          <t>시간</t>
        </is>
      </c>
    </row>
    <row r="31">
      <c r="A31" t="inlineStr">
        <is>
          <t>S001-상추</t>
        </is>
      </c>
      <c r="B31" t="inlineStr">
        <is>
          <t>부산 금정구 농장</t>
        </is>
      </c>
      <c r="C31" t="inlineStr">
        <is>
          <t>상추</t>
        </is>
      </c>
      <c r="D31" t="inlineStr">
        <is>
          <t>9. 인건비</t>
        </is>
      </c>
      <c r="E31" t="inlineStr">
        <is>
          <t>월 인건비</t>
        </is>
      </c>
      <c r="F31" s="8" t="n">
        <v>6600672</v>
      </c>
      <c r="G31" t="inlineStr">
        <is>
          <t>원</t>
        </is>
      </c>
    </row>
    <row r="32">
      <c r="A32" t="inlineStr">
        <is>
          <t>S001-상추</t>
        </is>
      </c>
      <c r="B32" t="inlineStr">
        <is>
          <t>부산 금정구 농장</t>
        </is>
      </c>
      <c r="C32" t="inlineStr">
        <is>
          <t>상추</t>
        </is>
      </c>
      <c r="D32" t="inlineStr">
        <is>
          <t>10. 수익</t>
        </is>
      </c>
      <c r="E32" t="inlineStr">
        <is>
          <t>기기 대여비 적용면적</t>
        </is>
      </c>
      <c r="F32" s="10" t="n">
        <v>106.6</v>
      </c>
      <c r="G32" t="inlineStr">
        <is>
          <t>m²</t>
        </is>
      </c>
    </row>
    <row r="33">
      <c r="A33" t="inlineStr">
        <is>
          <t>S001-상추</t>
        </is>
      </c>
      <c r="B33" t="inlineStr">
        <is>
          <t>부산 금정구 농장</t>
        </is>
      </c>
      <c r="C33" t="inlineStr">
        <is>
          <t>상추</t>
        </is>
      </c>
      <c r="D33" t="inlineStr">
        <is>
          <t>10. 수익</t>
        </is>
      </c>
      <c r="E33" t="inlineStr">
        <is>
          <t>면적당 월 기기 대여비</t>
        </is>
      </c>
      <c r="F33" s="8" t="n">
        <v>22000</v>
      </c>
      <c r="G33" t="inlineStr">
        <is>
          <t>원/m²/month</t>
        </is>
      </c>
    </row>
    <row r="34">
      <c r="A34" t="inlineStr">
        <is>
          <t>S001-상추</t>
        </is>
      </c>
      <c r="B34" t="inlineStr">
        <is>
          <t>부산 금정구 농장</t>
        </is>
      </c>
      <c r="C34" t="inlineStr">
        <is>
          <t>상추</t>
        </is>
      </c>
      <c r="D34" t="inlineStr">
        <is>
          <t>10. 수익</t>
        </is>
      </c>
      <c r="E34" t="inlineStr">
        <is>
          <t>월 기기 대여비</t>
        </is>
      </c>
      <c r="F34" s="8" t="n">
        <v>2345200</v>
      </c>
      <c r="G34" t="inlineStr">
        <is>
          <t>원</t>
        </is>
      </c>
    </row>
    <row r="35">
      <c r="A35" t="inlineStr">
        <is>
          <t>S001-상추</t>
        </is>
      </c>
      <c r="B35" t="inlineStr">
        <is>
          <t>부산 금정구 농장</t>
        </is>
      </c>
      <c r="C35" t="inlineStr">
        <is>
          <t>상추</t>
        </is>
      </c>
      <c r="D35" t="inlineStr">
        <is>
          <t>10. 수익</t>
        </is>
      </c>
      <c r="E35" t="inlineStr">
        <is>
          <t>월 운영비</t>
        </is>
      </c>
      <c r="F35" s="8" t="n">
        <v>18249388.90010861</v>
      </c>
      <c r="G35" t="inlineStr">
        <is>
          <t>원</t>
        </is>
      </c>
    </row>
    <row r="36">
      <c r="A36" t="inlineStr">
        <is>
          <t>S001-상추</t>
        </is>
      </c>
      <c r="B36" t="inlineStr">
        <is>
          <t>부산 금정구 농장</t>
        </is>
      </c>
      <c r="C36" t="inlineStr">
        <is>
          <t>상추</t>
        </is>
      </c>
      <c r="D36" t="inlineStr">
        <is>
          <t>10. 수익</t>
        </is>
      </c>
      <c r="E36" t="inlineStr">
        <is>
          <t>월 영업이익</t>
        </is>
      </c>
      <c r="F36" s="8" t="n">
        <v>-9039148.900108609</v>
      </c>
      <c r="G36" t="inlineStr">
        <is>
          <t>원</t>
        </is>
      </c>
    </row>
    <row r="37">
      <c r="A37" t="inlineStr">
        <is>
          <t>S001-상추</t>
        </is>
      </c>
      <c r="B37" t="inlineStr">
        <is>
          <t>부산 금정구 농장</t>
        </is>
      </c>
      <c r="C37" t="inlineStr">
        <is>
          <t>상추</t>
        </is>
      </c>
      <c r="D37" t="inlineStr">
        <is>
          <t>10. 수익</t>
        </is>
      </c>
      <c r="E37" t="inlineStr">
        <is>
          <t>공간 대여자 예상수익</t>
        </is>
      </c>
      <c r="F37" s="8" t="n">
        <v>-7231319.120086888</v>
      </c>
      <c r="G37" t="inlineStr">
        <is>
          <t>원</t>
        </is>
      </c>
    </row>
    <row r="38">
      <c r="A38" t="inlineStr">
        <is>
          <t>S001-상추</t>
        </is>
      </c>
      <c r="B38" t="inlineStr">
        <is>
          <t>부산 금정구 농장</t>
        </is>
      </c>
      <c r="C38" t="inlineStr">
        <is>
          <t>상추</t>
        </is>
      </c>
      <c r="D38" t="inlineStr">
        <is>
          <t>10. 수익</t>
        </is>
      </c>
      <c r="E38" t="inlineStr">
        <is>
          <t>원하는 월세</t>
        </is>
      </c>
      <c r="F38" s="8" t="n">
        <v>1200000</v>
      </c>
      <c r="G38" t="inlineStr">
        <is>
          <t>원</t>
        </is>
      </c>
    </row>
    <row r="39">
      <c r="A39" t="inlineStr">
        <is>
          <t>S001-상추</t>
        </is>
      </c>
      <c r="B39" t="inlineStr">
        <is>
          <t>부산 금정구 농장</t>
        </is>
      </c>
      <c r="C39" t="inlineStr">
        <is>
          <t>상추</t>
        </is>
      </c>
      <c r="D39" t="inlineStr">
        <is>
          <t>10. 수익</t>
        </is>
      </c>
      <c r="E39" t="inlineStr">
        <is>
          <t>공실 월세 대비 차이</t>
        </is>
      </c>
      <c r="F39" s="8" t="n">
        <v>-8431319.120086888</v>
      </c>
      <c r="G39" t="inlineStr">
        <is>
          <t>원</t>
        </is>
      </c>
    </row>
    <row r="40">
      <c r="A40" t="inlineStr">
        <is>
          <t>S001-상추</t>
        </is>
      </c>
      <c r="B40" t="inlineStr">
        <is>
          <t>부산 금정구 농장</t>
        </is>
      </c>
      <c r="C40" t="inlineStr">
        <is>
          <t>상추</t>
        </is>
      </c>
      <c r="D40" t="inlineStr">
        <is>
          <t>10. 수익</t>
        </is>
      </c>
      <c r="E40" t="inlineStr">
        <is>
          <t>사업장 영업이익</t>
        </is>
      </c>
      <c r="F40" s="8" t="n">
        <v>-1807829.780021721</v>
      </c>
      <c r="G40" t="inlineStr">
        <is>
          <t>원</t>
        </is>
      </c>
    </row>
    <row r="41">
      <c r="A41" t="inlineStr">
        <is>
          <t>S001-딸기</t>
        </is>
      </c>
      <c r="B41" t="inlineStr">
        <is>
          <t>부산 금정구 농장</t>
        </is>
      </c>
      <c r="C41" t="inlineStr">
        <is>
          <t>딸기</t>
        </is>
      </c>
      <c r="D41" t="inlineStr">
        <is>
          <t>1. 공간</t>
        </is>
      </c>
      <c r="E41" t="inlineStr">
        <is>
          <t>공실 전체면적</t>
        </is>
      </c>
      <c r="F41" s="10" t="n">
        <v>164</v>
      </c>
      <c r="G41" t="inlineStr">
        <is>
          <t>m²</t>
        </is>
      </c>
    </row>
    <row r="42">
      <c r="A42" t="inlineStr">
        <is>
          <t>S001-딸기</t>
        </is>
      </c>
      <c r="B42" t="inlineStr">
        <is>
          <t>부산 금정구 농장</t>
        </is>
      </c>
      <c r="C42" t="inlineStr">
        <is>
          <t>딸기</t>
        </is>
      </c>
      <c r="D42" t="inlineStr">
        <is>
          <t>1. 공간</t>
        </is>
      </c>
      <c r="E42" t="inlineStr">
        <is>
          <t>사용가능 바닥면적</t>
        </is>
      </c>
      <c r="F42" s="10" t="n">
        <v>106.6</v>
      </c>
      <c r="G42" t="inlineStr">
        <is>
          <t>m²</t>
        </is>
      </c>
    </row>
    <row r="43">
      <c r="A43" t="inlineStr">
        <is>
          <t>S001-딸기</t>
        </is>
      </c>
      <c r="B43" t="inlineStr">
        <is>
          <t>부산 금정구 농장</t>
        </is>
      </c>
      <c r="C43" t="inlineStr">
        <is>
          <t>딸기</t>
        </is>
      </c>
      <c r="D43" t="inlineStr">
        <is>
          <t>1. 공간</t>
        </is>
      </c>
      <c r="E43" t="inlineStr">
        <is>
          <t>작물별 모듈 층 수</t>
        </is>
      </c>
      <c r="F43" s="8" t="n">
        <v>2</v>
      </c>
      <c r="G43" t="inlineStr">
        <is>
          <t>층</t>
        </is>
      </c>
    </row>
    <row r="44">
      <c r="A44" t="inlineStr">
        <is>
          <t>S001-딸기</t>
        </is>
      </c>
      <c r="B44" t="inlineStr">
        <is>
          <t>부산 금정구 농장</t>
        </is>
      </c>
      <c r="C44" t="inlineStr">
        <is>
          <t>딸기</t>
        </is>
      </c>
      <c r="D44" t="inlineStr">
        <is>
          <t>1. 공간</t>
        </is>
      </c>
      <c r="E44" t="inlineStr">
        <is>
          <t>재배면적</t>
        </is>
      </c>
      <c r="F44" s="10" t="n">
        <v>213.2</v>
      </c>
      <c r="G44" t="inlineStr">
        <is>
          <t>m²</t>
        </is>
      </c>
    </row>
    <row r="45">
      <c r="A45" t="inlineStr">
        <is>
          <t>S001-딸기</t>
        </is>
      </c>
      <c r="B45" t="inlineStr">
        <is>
          <t>부산 금정구 농장</t>
        </is>
      </c>
      <c r="C45" t="inlineStr">
        <is>
          <t>딸기</t>
        </is>
      </c>
      <c r="D45" t="inlineStr">
        <is>
          <t>1. 공간</t>
        </is>
      </c>
      <c r="E45" t="inlineStr">
        <is>
          <t>공간 체적</t>
        </is>
      </c>
      <c r="F45" s="10" t="n">
        <v>410</v>
      </c>
      <c r="G45" t="inlineStr">
        <is>
          <t>m³</t>
        </is>
      </c>
    </row>
    <row r="46">
      <c r="A46" t="inlineStr">
        <is>
          <t>S001-딸기</t>
        </is>
      </c>
      <c r="B46" t="inlineStr">
        <is>
          <t>부산 금정구 농장</t>
        </is>
      </c>
      <c r="C46" t="inlineStr">
        <is>
          <t>딸기</t>
        </is>
      </c>
      <c r="D46" t="inlineStr">
        <is>
          <t>2. 생산</t>
        </is>
      </c>
      <c r="E46" t="inlineStr">
        <is>
          <t>월 총생산량</t>
        </is>
      </c>
      <c r="F46" s="10" t="n">
        <v>426.4</v>
      </c>
      <c r="G46" t="inlineStr">
        <is>
          <t>kg</t>
        </is>
      </c>
    </row>
    <row r="47">
      <c r="A47" t="inlineStr">
        <is>
          <t>S001-딸기</t>
        </is>
      </c>
      <c r="B47" t="inlineStr">
        <is>
          <t>부산 금정구 농장</t>
        </is>
      </c>
      <c r="C47" t="inlineStr">
        <is>
          <t>딸기</t>
        </is>
      </c>
      <c r="D47" t="inlineStr">
        <is>
          <t>2. 생산</t>
        </is>
      </c>
      <c r="E47" t="inlineStr">
        <is>
          <t>월 판매량</t>
        </is>
      </c>
      <c r="F47" s="10" t="n">
        <v>383.76</v>
      </c>
      <c r="G47" t="inlineStr">
        <is>
          <t>kg</t>
        </is>
      </c>
    </row>
    <row r="48">
      <c r="A48" t="inlineStr">
        <is>
          <t>S001-딸기</t>
        </is>
      </c>
      <c r="B48" t="inlineStr">
        <is>
          <t>부산 금정구 농장</t>
        </is>
      </c>
      <c r="C48" t="inlineStr">
        <is>
          <t>딸기</t>
        </is>
      </c>
      <c r="D48" t="inlineStr">
        <is>
          <t>3. 매출</t>
        </is>
      </c>
      <c r="E48" t="inlineStr">
        <is>
          <t>판매가격</t>
        </is>
      </c>
      <c r="F48" s="8" t="n">
        <v>30000</v>
      </c>
      <c r="G48" t="inlineStr">
        <is>
          <t>원/kg</t>
        </is>
      </c>
    </row>
    <row r="49">
      <c r="A49" t="inlineStr">
        <is>
          <t>S001-딸기</t>
        </is>
      </c>
      <c r="B49" t="inlineStr">
        <is>
          <t>부산 금정구 농장</t>
        </is>
      </c>
      <c r="C49" t="inlineStr">
        <is>
          <t>딸기</t>
        </is>
      </c>
      <c r="D49" t="inlineStr">
        <is>
          <t>3. 매출</t>
        </is>
      </c>
      <c r="E49" t="inlineStr">
        <is>
          <t>월 매출</t>
        </is>
      </c>
      <c r="F49" s="8" t="n">
        <v>11512800</v>
      </c>
      <c r="G49" t="inlineStr">
        <is>
          <t>원</t>
        </is>
      </c>
    </row>
    <row r="50">
      <c r="A50" t="inlineStr">
        <is>
          <t>S001-딸기</t>
        </is>
      </c>
      <c r="B50" t="inlineStr">
        <is>
          <t>부산 금정구 농장</t>
        </is>
      </c>
      <c r="C50" t="inlineStr">
        <is>
          <t>딸기</t>
        </is>
      </c>
      <c r="D50" t="inlineStr">
        <is>
          <t>4. 조명·냉난방</t>
        </is>
      </c>
      <c r="E50" t="inlineStr">
        <is>
          <t>필요 조명전력</t>
        </is>
      </c>
      <c r="F50" s="10" t="n">
        <v>19035.71428571429</v>
      </c>
      <c r="G50" t="inlineStr">
        <is>
          <t>W</t>
        </is>
      </c>
    </row>
    <row r="51">
      <c r="A51" t="inlineStr">
        <is>
          <t>S001-딸기</t>
        </is>
      </c>
      <c r="B51" t="inlineStr">
        <is>
          <t>부산 금정구 농장</t>
        </is>
      </c>
      <c r="C51" t="inlineStr">
        <is>
          <t>딸기</t>
        </is>
      </c>
      <c r="D51" t="inlineStr">
        <is>
          <t>4. 조명·냉난방</t>
        </is>
      </c>
      <c r="E51" t="inlineStr">
        <is>
          <t>월 조명전력량</t>
        </is>
      </c>
      <c r="F51" s="10" t="n">
        <v>9264.047619047622</v>
      </c>
      <c r="G51" t="inlineStr">
        <is>
          <t>kWh</t>
        </is>
      </c>
    </row>
    <row r="52">
      <c r="A52" t="inlineStr">
        <is>
          <t>S001-딸기</t>
        </is>
      </c>
      <c r="B52" t="inlineStr">
        <is>
          <t>부산 금정구 농장</t>
        </is>
      </c>
      <c r="C52" t="inlineStr">
        <is>
          <t>딸기</t>
        </is>
      </c>
      <c r="D52" t="inlineStr">
        <is>
          <t>5. 습도</t>
        </is>
      </c>
      <c r="E52" t="inlineStr">
        <is>
          <t>월 증발산량</t>
        </is>
      </c>
      <c r="F52" s="10" t="n">
        <v>5836.350000000001</v>
      </c>
      <c r="G52" t="inlineStr">
        <is>
          <t>kg</t>
        </is>
      </c>
    </row>
    <row r="53">
      <c r="A53" t="inlineStr">
        <is>
          <t>S001-딸기</t>
        </is>
      </c>
      <c r="B53" t="inlineStr">
        <is>
          <t>부산 금정구 농장</t>
        </is>
      </c>
      <c r="C53" t="inlineStr">
        <is>
          <t>딸기</t>
        </is>
      </c>
      <c r="D53" t="inlineStr">
        <is>
          <t>6. 전기비</t>
        </is>
      </c>
      <c r="E53" t="inlineStr">
        <is>
          <t>월평균 총 전력량</t>
        </is>
      </c>
      <c r="F53" s="10" t="n">
        <v>12923.4610087912</v>
      </c>
      <c r="G53" t="inlineStr">
        <is>
          <t>kWh</t>
        </is>
      </c>
    </row>
    <row r="54">
      <c r="A54" t="inlineStr">
        <is>
          <t>S001-딸기</t>
        </is>
      </c>
      <c r="B54" t="inlineStr">
        <is>
          <t>부산 금정구 농장</t>
        </is>
      </c>
      <c r="C54" t="inlineStr">
        <is>
          <t>딸기</t>
        </is>
      </c>
      <c r="D54" t="inlineStr">
        <is>
          <t>6. 전기비</t>
        </is>
      </c>
      <c r="E54" t="inlineStr">
        <is>
          <t>월 전기비</t>
        </is>
      </c>
      <c r="F54" s="8" t="n">
        <v>2003136.456362635</v>
      </c>
      <c r="G54" t="inlineStr">
        <is>
          <t>원</t>
        </is>
      </c>
    </row>
    <row r="55">
      <c r="A55" t="inlineStr">
        <is>
          <t>S001-딸기</t>
        </is>
      </c>
      <c r="B55" t="inlineStr">
        <is>
          <t>부산 금정구 농장</t>
        </is>
      </c>
      <c r="C55" t="inlineStr">
        <is>
          <t>딸기</t>
        </is>
      </c>
      <c r="D55" t="inlineStr">
        <is>
          <t>7. 수도비</t>
        </is>
      </c>
      <c r="E55" t="inlineStr">
        <is>
          <t>배액률</t>
        </is>
      </c>
      <c r="F55" s="11" t="n">
        <v>0.3</v>
      </c>
      <c r="G55" t="inlineStr">
        <is>
          <t>%</t>
        </is>
      </c>
    </row>
    <row r="56">
      <c r="A56" t="inlineStr">
        <is>
          <t>S001-딸기</t>
        </is>
      </c>
      <c r="B56" t="inlineStr">
        <is>
          <t>부산 금정구 농장</t>
        </is>
      </c>
      <c r="C56" t="inlineStr">
        <is>
          <t>딸기</t>
        </is>
      </c>
      <c r="D56" t="inlineStr">
        <is>
          <t>7. 수도비</t>
        </is>
      </c>
      <c r="E56" t="inlineStr">
        <is>
          <t>월 작물 순소비량</t>
        </is>
      </c>
      <c r="F56" s="10" t="n">
        <v>5.836350000000001</v>
      </c>
      <c r="G56" t="inlineStr">
        <is>
          <t>m³</t>
        </is>
      </c>
    </row>
    <row r="57">
      <c r="A57" t="inlineStr">
        <is>
          <t>S001-딸기</t>
        </is>
      </c>
      <c r="B57" t="inlineStr">
        <is>
          <t>부산 금정구 농장</t>
        </is>
      </c>
      <c r="C57" t="inlineStr">
        <is>
          <t>딸기</t>
        </is>
      </c>
      <c r="D57" t="inlineStr">
        <is>
          <t>7. 수도비</t>
        </is>
      </c>
      <c r="E57" t="inlineStr">
        <is>
          <t>월 배액량</t>
        </is>
      </c>
      <c r="F57" s="10" t="n">
        <v>2.501292857142857</v>
      </c>
      <c r="G57" t="inlineStr">
        <is>
          <t>m³</t>
        </is>
      </c>
    </row>
    <row r="58">
      <c r="A58" t="inlineStr">
        <is>
          <t>S001-딸기</t>
        </is>
      </c>
      <c r="B58" t="inlineStr">
        <is>
          <t>부산 금정구 농장</t>
        </is>
      </c>
      <c r="C58" t="inlineStr">
        <is>
          <t>딸기</t>
        </is>
      </c>
      <c r="D58" t="inlineStr">
        <is>
          <t>7. 수도비</t>
        </is>
      </c>
      <c r="E58" t="inlineStr">
        <is>
          <t>월 작물 관수량</t>
        </is>
      </c>
      <c r="F58" s="10" t="n">
        <v>8.337642857142859</v>
      </c>
      <c r="G58" t="inlineStr">
        <is>
          <t>m³</t>
        </is>
      </c>
    </row>
    <row r="59">
      <c r="A59" t="inlineStr">
        <is>
          <t>S001-딸기</t>
        </is>
      </c>
      <c r="B59" t="inlineStr">
        <is>
          <t>부산 금정구 농장</t>
        </is>
      </c>
      <c r="C59" t="inlineStr">
        <is>
          <t>딸기</t>
        </is>
      </c>
      <c r="D59" t="inlineStr">
        <is>
          <t>7. 수도비</t>
        </is>
      </c>
      <c r="E59" t="inlineStr">
        <is>
          <t>월 기타 용수량</t>
        </is>
      </c>
      <c r="F59" s="10" t="n">
        <v>0.9976666666666668</v>
      </c>
      <c r="G59" t="inlineStr">
        <is>
          <t>m³</t>
        </is>
      </c>
    </row>
    <row r="60">
      <c r="A60" t="inlineStr">
        <is>
          <t>S001-딸기</t>
        </is>
      </c>
      <c r="B60" t="inlineStr">
        <is>
          <t>부산 금정구 농장</t>
        </is>
      </c>
      <c r="C60" t="inlineStr">
        <is>
          <t>딸기</t>
        </is>
      </c>
      <c r="D60" t="inlineStr">
        <is>
          <t>7. 수도비</t>
        </is>
      </c>
      <c r="E60" t="inlineStr">
        <is>
          <t>월 총 용수량</t>
        </is>
      </c>
      <c r="F60" s="10" t="n">
        <v>9.335309523809524</v>
      </c>
      <c r="G60" t="inlineStr">
        <is>
          <t>m³</t>
        </is>
      </c>
    </row>
    <row r="61">
      <c r="A61" t="inlineStr">
        <is>
          <t>S001-딸기</t>
        </is>
      </c>
      <c r="B61" t="inlineStr">
        <is>
          <t>부산 금정구 농장</t>
        </is>
      </c>
      <c r="C61" t="inlineStr">
        <is>
          <t>딸기</t>
        </is>
      </c>
      <c r="D61" t="inlineStr">
        <is>
          <t>7. 수도비</t>
        </is>
      </c>
      <c r="E61" t="inlineStr">
        <is>
          <t>월 수도비</t>
        </is>
      </c>
      <c r="F61" s="8" t="n">
        <v>21471.21190476191</v>
      </c>
      <c r="G61" t="inlineStr">
        <is>
          <t>원</t>
        </is>
      </c>
    </row>
    <row r="62">
      <c r="A62" t="inlineStr">
        <is>
          <t>S001-딸기</t>
        </is>
      </c>
      <c r="B62" t="inlineStr">
        <is>
          <t>부산 금정구 농장</t>
        </is>
      </c>
      <c r="C62" t="inlineStr">
        <is>
          <t>딸기</t>
        </is>
      </c>
      <c r="D62" t="inlineStr">
        <is>
          <t>8. 재료비</t>
        </is>
      </c>
      <c r="E62" t="inlineStr">
        <is>
          <t>면적당 월 환산 모종비</t>
        </is>
      </c>
      <c r="F62" s="8" t="n">
        <v>3750</v>
      </c>
      <c r="G62" t="inlineStr">
        <is>
          <t>원/m²/month</t>
        </is>
      </c>
    </row>
    <row r="63">
      <c r="A63" t="inlineStr">
        <is>
          <t>S001-딸기</t>
        </is>
      </c>
      <c r="B63" t="inlineStr">
        <is>
          <t>부산 금정구 농장</t>
        </is>
      </c>
      <c r="C63" t="inlineStr">
        <is>
          <t>딸기</t>
        </is>
      </c>
      <c r="D63" t="inlineStr">
        <is>
          <t>8. 재료비</t>
        </is>
      </c>
      <c r="E63" t="inlineStr">
        <is>
          <t>월 모종비</t>
        </is>
      </c>
      <c r="F63" s="8" t="n">
        <v>799500.0000000001</v>
      </c>
      <c r="G63" t="inlineStr">
        <is>
          <t>원</t>
        </is>
      </c>
    </row>
    <row r="64">
      <c r="A64" t="inlineStr">
        <is>
          <t>S001-딸기</t>
        </is>
      </c>
      <c r="B64" t="inlineStr">
        <is>
          <t>부산 금정구 농장</t>
        </is>
      </c>
      <c r="C64" t="inlineStr">
        <is>
          <t>딸기</t>
        </is>
      </c>
      <c r="D64" t="inlineStr">
        <is>
          <t>8. 재료비</t>
        </is>
      </c>
      <c r="E64" t="inlineStr">
        <is>
          <t>월 양액 사용량</t>
        </is>
      </c>
      <c r="F64" s="10" t="n">
        <v>8.337642857142859</v>
      </c>
      <c r="G64" t="inlineStr">
        <is>
          <t>m³</t>
        </is>
      </c>
    </row>
    <row r="65">
      <c r="A65" t="inlineStr">
        <is>
          <t>S001-딸기</t>
        </is>
      </c>
      <c r="B65" t="inlineStr">
        <is>
          <t>부산 금정구 농장</t>
        </is>
      </c>
      <c r="C65" t="inlineStr">
        <is>
          <t>딸기</t>
        </is>
      </c>
      <c r="D65" t="inlineStr">
        <is>
          <t>8. 재료비</t>
        </is>
      </c>
      <c r="E65" t="inlineStr">
        <is>
          <t>월 양액비</t>
        </is>
      </c>
      <c r="F65" s="8" t="n">
        <v>166752.8571428572</v>
      </c>
      <c r="G65" t="inlineStr">
        <is>
          <t>원</t>
        </is>
      </c>
    </row>
    <row r="66">
      <c r="A66" t="inlineStr">
        <is>
          <t>S001-딸기</t>
        </is>
      </c>
      <c r="B66" t="inlineStr">
        <is>
          <t>부산 금정구 농장</t>
        </is>
      </c>
      <c r="C66" t="inlineStr">
        <is>
          <t>딸기</t>
        </is>
      </c>
      <c r="D66" t="inlineStr">
        <is>
          <t>8. 재료비</t>
        </is>
      </c>
      <c r="E66" t="inlineStr">
        <is>
          <t>월 재료비</t>
        </is>
      </c>
      <c r="F66" s="8" t="n">
        <v>966252.8571428573</v>
      </c>
      <c r="G66" t="inlineStr">
        <is>
          <t>원</t>
        </is>
      </c>
    </row>
    <row r="67">
      <c r="A67" t="inlineStr">
        <is>
          <t>S001-딸기</t>
        </is>
      </c>
      <c r="B67" t="inlineStr">
        <is>
          <t>부산 금정구 농장</t>
        </is>
      </c>
      <c r="C67" t="inlineStr">
        <is>
          <t>딸기</t>
        </is>
      </c>
      <c r="D67" t="inlineStr">
        <is>
          <t>9. 인건비</t>
        </is>
      </c>
      <c r="E67" t="inlineStr">
        <is>
          <t>월 노동시간</t>
        </is>
      </c>
      <c r="F67" s="10" t="n">
        <v>213.2</v>
      </c>
      <c r="G67" t="inlineStr">
        <is>
          <t>시간</t>
        </is>
      </c>
    </row>
    <row r="68">
      <c r="A68" t="inlineStr">
        <is>
          <t>S001-딸기</t>
        </is>
      </c>
      <c r="B68" t="inlineStr">
        <is>
          <t>부산 금정구 농장</t>
        </is>
      </c>
      <c r="C68" t="inlineStr">
        <is>
          <t>딸기</t>
        </is>
      </c>
      <c r="D68" t="inlineStr">
        <is>
          <t>9. 인건비</t>
        </is>
      </c>
      <c r="E68" t="inlineStr">
        <is>
          <t>월 인건비</t>
        </is>
      </c>
      <c r="F68" s="8" t="n">
        <v>2200224</v>
      </c>
      <c r="G68" t="inlineStr">
        <is>
          <t>원</t>
        </is>
      </c>
    </row>
    <row r="69">
      <c r="A69" t="inlineStr">
        <is>
          <t>S001-딸기</t>
        </is>
      </c>
      <c r="B69" t="inlineStr">
        <is>
          <t>부산 금정구 농장</t>
        </is>
      </c>
      <c r="C69" t="inlineStr">
        <is>
          <t>딸기</t>
        </is>
      </c>
      <c r="D69" t="inlineStr">
        <is>
          <t>10. 수익</t>
        </is>
      </c>
      <c r="E69" t="inlineStr">
        <is>
          <t>기기 대여비 적용면적</t>
        </is>
      </c>
      <c r="F69" s="10" t="n">
        <v>106.6</v>
      </c>
      <c r="G69" t="inlineStr">
        <is>
          <t>m²</t>
        </is>
      </c>
    </row>
    <row r="70">
      <c r="A70" t="inlineStr">
        <is>
          <t>S001-딸기</t>
        </is>
      </c>
      <c r="B70" t="inlineStr">
        <is>
          <t>부산 금정구 농장</t>
        </is>
      </c>
      <c r="C70" t="inlineStr">
        <is>
          <t>딸기</t>
        </is>
      </c>
      <c r="D70" t="inlineStr">
        <is>
          <t>10. 수익</t>
        </is>
      </c>
      <c r="E70" t="inlineStr">
        <is>
          <t>면적당 월 기기 대여비</t>
        </is>
      </c>
      <c r="F70" s="8" t="n">
        <v>22000</v>
      </c>
      <c r="G70" t="inlineStr">
        <is>
          <t>원/m²/month</t>
        </is>
      </c>
    </row>
    <row r="71">
      <c r="A71" t="inlineStr">
        <is>
          <t>S001-딸기</t>
        </is>
      </c>
      <c r="B71" t="inlineStr">
        <is>
          <t>부산 금정구 농장</t>
        </is>
      </c>
      <c r="C71" t="inlineStr">
        <is>
          <t>딸기</t>
        </is>
      </c>
      <c r="D71" t="inlineStr">
        <is>
          <t>10. 수익</t>
        </is>
      </c>
      <c r="E71" t="inlineStr">
        <is>
          <t>월 기기 대여비</t>
        </is>
      </c>
      <c r="F71" s="8" t="n">
        <v>2345200</v>
      </c>
      <c r="G71" t="inlineStr">
        <is>
          <t>원</t>
        </is>
      </c>
    </row>
    <row r="72">
      <c r="A72" t="inlineStr">
        <is>
          <t>S001-딸기</t>
        </is>
      </c>
      <c r="B72" t="inlineStr">
        <is>
          <t>부산 금정구 농장</t>
        </is>
      </c>
      <c r="C72" t="inlineStr">
        <is>
          <t>딸기</t>
        </is>
      </c>
      <c r="D72" t="inlineStr">
        <is>
          <t>10. 수익</t>
        </is>
      </c>
      <c r="E72" t="inlineStr">
        <is>
          <t>월 운영비</t>
        </is>
      </c>
      <c r="F72" s="8" t="n">
        <v>7836284.525410254</v>
      </c>
      <c r="G72" t="inlineStr">
        <is>
          <t>원</t>
        </is>
      </c>
    </row>
    <row r="73">
      <c r="A73" t="inlineStr">
        <is>
          <t>S001-딸기</t>
        </is>
      </c>
      <c r="B73" t="inlineStr">
        <is>
          <t>부산 금정구 농장</t>
        </is>
      </c>
      <c r="C73" t="inlineStr">
        <is>
          <t>딸기</t>
        </is>
      </c>
      <c r="D73" t="inlineStr">
        <is>
          <t>10. 수익</t>
        </is>
      </c>
      <c r="E73" t="inlineStr">
        <is>
          <t>월 영업이익</t>
        </is>
      </c>
      <c r="F73" s="8" t="n">
        <v>3676515.474589747</v>
      </c>
      <c r="G73" t="inlineStr">
        <is>
          <t>원</t>
        </is>
      </c>
    </row>
    <row r="74">
      <c r="A74" t="inlineStr">
        <is>
          <t>S001-딸기</t>
        </is>
      </c>
      <c r="B74" t="inlineStr">
        <is>
          <t>부산 금정구 농장</t>
        </is>
      </c>
      <c r="C74" t="inlineStr">
        <is>
          <t>딸기</t>
        </is>
      </c>
      <c r="D74" t="inlineStr">
        <is>
          <t>10. 수익</t>
        </is>
      </c>
      <c r="E74" t="inlineStr">
        <is>
          <t>공간 대여자 예상수익</t>
        </is>
      </c>
      <c r="F74" s="8" t="n">
        <v>2941212.379671798</v>
      </c>
      <c r="G74" t="inlineStr">
        <is>
          <t>원</t>
        </is>
      </c>
    </row>
    <row r="75">
      <c r="A75" t="inlineStr">
        <is>
          <t>S001-딸기</t>
        </is>
      </c>
      <c r="B75" t="inlineStr">
        <is>
          <t>부산 금정구 농장</t>
        </is>
      </c>
      <c r="C75" t="inlineStr">
        <is>
          <t>딸기</t>
        </is>
      </c>
      <c r="D75" t="inlineStr">
        <is>
          <t>10. 수익</t>
        </is>
      </c>
      <c r="E75" t="inlineStr">
        <is>
          <t>원하는 월세</t>
        </is>
      </c>
      <c r="F75" s="8" t="n">
        <v>1200000</v>
      </c>
      <c r="G75" t="inlineStr">
        <is>
          <t>원</t>
        </is>
      </c>
    </row>
    <row r="76">
      <c r="A76" t="inlineStr">
        <is>
          <t>S001-딸기</t>
        </is>
      </c>
      <c r="B76" t="inlineStr">
        <is>
          <t>부산 금정구 농장</t>
        </is>
      </c>
      <c r="C76" t="inlineStr">
        <is>
          <t>딸기</t>
        </is>
      </c>
      <c r="D76" t="inlineStr">
        <is>
          <t>10. 수익</t>
        </is>
      </c>
      <c r="E76" t="inlineStr">
        <is>
          <t>공실 월세 대비 차이</t>
        </is>
      </c>
      <c r="F76" s="8" t="n">
        <v>1741212.379671798</v>
      </c>
      <c r="G76" t="inlineStr">
        <is>
          <t>원</t>
        </is>
      </c>
    </row>
    <row r="77">
      <c r="A77" t="inlineStr">
        <is>
          <t>S001-딸기</t>
        </is>
      </c>
      <c r="B77" t="inlineStr">
        <is>
          <t>부산 금정구 농장</t>
        </is>
      </c>
      <c r="C77" t="inlineStr">
        <is>
          <t>딸기</t>
        </is>
      </c>
      <c r="D77" t="inlineStr">
        <is>
          <t>10. 수익</t>
        </is>
      </c>
      <c r="E77" t="inlineStr">
        <is>
          <t>사업장 영업이익</t>
        </is>
      </c>
      <c r="F77" s="8" t="n">
        <v>735303.0949179493</v>
      </c>
      <c r="G77" t="inlineStr">
        <is>
          <t>원</t>
        </is>
      </c>
    </row>
    <row r="78">
      <c r="A78" t="inlineStr">
        <is>
          <t>S001-바질</t>
        </is>
      </c>
      <c r="B78" t="inlineStr">
        <is>
          <t>부산 금정구 농장</t>
        </is>
      </c>
      <c r="C78" t="inlineStr">
        <is>
          <t>바질</t>
        </is>
      </c>
      <c r="D78" t="inlineStr">
        <is>
          <t>1. 공간</t>
        </is>
      </c>
      <c r="E78" t="inlineStr">
        <is>
          <t>공실 전체면적</t>
        </is>
      </c>
      <c r="F78" s="10" t="n">
        <v>164</v>
      </c>
      <c r="G78" t="inlineStr">
        <is>
          <t>m²</t>
        </is>
      </c>
    </row>
    <row r="79">
      <c r="A79" t="inlineStr">
        <is>
          <t>S001-바질</t>
        </is>
      </c>
      <c r="B79" t="inlineStr">
        <is>
          <t>부산 금정구 농장</t>
        </is>
      </c>
      <c r="C79" t="inlineStr">
        <is>
          <t>바질</t>
        </is>
      </c>
      <c r="D79" t="inlineStr">
        <is>
          <t>1. 공간</t>
        </is>
      </c>
      <c r="E79" t="inlineStr">
        <is>
          <t>사용가능 바닥면적</t>
        </is>
      </c>
      <c r="F79" s="10" t="n">
        <v>106.6</v>
      </c>
      <c r="G79" t="inlineStr">
        <is>
          <t>m²</t>
        </is>
      </c>
    </row>
    <row r="80">
      <c r="A80" t="inlineStr">
        <is>
          <t>S001-바질</t>
        </is>
      </c>
      <c r="B80" t="inlineStr">
        <is>
          <t>부산 금정구 농장</t>
        </is>
      </c>
      <c r="C80" t="inlineStr">
        <is>
          <t>바질</t>
        </is>
      </c>
      <c r="D80" t="inlineStr">
        <is>
          <t>1. 공간</t>
        </is>
      </c>
      <c r="E80" t="inlineStr">
        <is>
          <t>작물별 모듈 층 수</t>
        </is>
      </c>
      <c r="F80" s="8" t="n">
        <v>3</v>
      </c>
      <c r="G80" t="inlineStr">
        <is>
          <t>층</t>
        </is>
      </c>
    </row>
    <row r="81">
      <c r="A81" t="inlineStr">
        <is>
          <t>S001-바질</t>
        </is>
      </c>
      <c r="B81" t="inlineStr">
        <is>
          <t>부산 금정구 농장</t>
        </is>
      </c>
      <c r="C81" t="inlineStr">
        <is>
          <t>바질</t>
        </is>
      </c>
      <c r="D81" t="inlineStr">
        <is>
          <t>1. 공간</t>
        </is>
      </c>
      <c r="E81" t="inlineStr">
        <is>
          <t>재배면적</t>
        </is>
      </c>
      <c r="F81" s="10" t="n">
        <v>319.8</v>
      </c>
      <c r="G81" t="inlineStr">
        <is>
          <t>m²</t>
        </is>
      </c>
    </row>
    <row r="82">
      <c r="A82" t="inlineStr">
        <is>
          <t>S001-바질</t>
        </is>
      </c>
      <c r="B82" t="inlineStr">
        <is>
          <t>부산 금정구 농장</t>
        </is>
      </c>
      <c r="C82" t="inlineStr">
        <is>
          <t>바질</t>
        </is>
      </c>
      <c r="D82" t="inlineStr">
        <is>
          <t>1. 공간</t>
        </is>
      </c>
      <c r="E82" t="inlineStr">
        <is>
          <t>공간 체적</t>
        </is>
      </c>
      <c r="F82" s="10" t="n">
        <v>410</v>
      </c>
      <c r="G82" t="inlineStr">
        <is>
          <t>m³</t>
        </is>
      </c>
    </row>
    <row r="83">
      <c r="A83" t="inlineStr">
        <is>
          <t>S001-바질</t>
        </is>
      </c>
      <c r="B83" t="inlineStr">
        <is>
          <t>부산 금정구 농장</t>
        </is>
      </c>
      <c r="C83" t="inlineStr">
        <is>
          <t>바질</t>
        </is>
      </c>
      <c r="D83" t="inlineStr">
        <is>
          <t>2. 생산</t>
        </is>
      </c>
      <c r="E83" t="inlineStr">
        <is>
          <t>월 총생산량</t>
        </is>
      </c>
      <c r="F83" s="10" t="n">
        <v>767.5200000000001</v>
      </c>
      <c r="G83" t="inlineStr">
        <is>
          <t>kg</t>
        </is>
      </c>
    </row>
    <row r="84">
      <c r="A84" t="inlineStr">
        <is>
          <t>S001-바질</t>
        </is>
      </c>
      <c r="B84" t="inlineStr">
        <is>
          <t>부산 금정구 농장</t>
        </is>
      </c>
      <c r="C84" t="inlineStr">
        <is>
          <t>바질</t>
        </is>
      </c>
      <c r="D84" t="inlineStr">
        <is>
          <t>2. 생산</t>
        </is>
      </c>
      <c r="E84" t="inlineStr">
        <is>
          <t>월 판매량</t>
        </is>
      </c>
      <c r="F84" s="10" t="n">
        <v>690.7680000000001</v>
      </c>
      <c r="G84" t="inlineStr">
        <is>
          <t>kg</t>
        </is>
      </c>
    </row>
    <row r="85">
      <c r="A85" t="inlineStr">
        <is>
          <t>S001-바질</t>
        </is>
      </c>
      <c r="B85" t="inlineStr">
        <is>
          <t>부산 금정구 농장</t>
        </is>
      </c>
      <c r="C85" t="inlineStr">
        <is>
          <t>바질</t>
        </is>
      </c>
      <c r="D85" t="inlineStr">
        <is>
          <t>3. 매출</t>
        </is>
      </c>
      <c r="E85" t="inlineStr">
        <is>
          <t>판매가격</t>
        </is>
      </c>
      <c r="F85" s="8" t="n">
        <v>25000</v>
      </c>
      <c r="G85" t="inlineStr">
        <is>
          <t>원/kg</t>
        </is>
      </c>
    </row>
    <row r="86">
      <c r="A86" t="inlineStr">
        <is>
          <t>S001-바질</t>
        </is>
      </c>
      <c r="B86" t="inlineStr">
        <is>
          <t>부산 금정구 농장</t>
        </is>
      </c>
      <c r="C86" t="inlineStr">
        <is>
          <t>바질</t>
        </is>
      </c>
      <c r="D86" t="inlineStr">
        <is>
          <t>3. 매출</t>
        </is>
      </c>
      <c r="E86" t="inlineStr">
        <is>
          <t>월 매출</t>
        </is>
      </c>
      <c r="F86" s="8" t="n">
        <v>17269200</v>
      </c>
      <c r="G86" t="inlineStr">
        <is>
          <t>원</t>
        </is>
      </c>
    </row>
    <row r="87">
      <c r="A87" t="inlineStr">
        <is>
          <t>S001-바질</t>
        </is>
      </c>
      <c r="B87" t="inlineStr">
        <is>
          <t>부산 금정구 농장</t>
        </is>
      </c>
      <c r="C87" t="inlineStr">
        <is>
          <t>바질</t>
        </is>
      </c>
      <c r="D87" t="inlineStr">
        <is>
          <t>4. 조명·냉난방</t>
        </is>
      </c>
      <c r="E87" t="inlineStr">
        <is>
          <t>필요 조명전력</t>
        </is>
      </c>
      <c r="F87" s="10" t="n">
        <v>28553.57142857143</v>
      </c>
      <c r="G87" t="inlineStr">
        <is>
          <t>W</t>
        </is>
      </c>
    </row>
    <row r="88">
      <c r="A88" t="inlineStr">
        <is>
          <t>S001-바질</t>
        </is>
      </c>
      <c r="B88" t="inlineStr">
        <is>
          <t>부산 금정구 농장</t>
        </is>
      </c>
      <c r="C88" t="inlineStr">
        <is>
          <t>바질</t>
        </is>
      </c>
      <c r="D88" t="inlineStr">
        <is>
          <t>4. 조명·냉난방</t>
        </is>
      </c>
      <c r="E88" t="inlineStr">
        <is>
          <t>월 조명전력량</t>
        </is>
      </c>
      <c r="F88" s="10" t="n">
        <v>13896.07142857143</v>
      </c>
      <c r="G88" t="inlineStr">
        <is>
          <t>kWh</t>
        </is>
      </c>
    </row>
    <row r="89">
      <c r="A89" t="inlineStr">
        <is>
          <t>S001-바질</t>
        </is>
      </c>
      <c r="B89" t="inlineStr">
        <is>
          <t>부산 금정구 농장</t>
        </is>
      </c>
      <c r="C89" t="inlineStr">
        <is>
          <t>바질</t>
        </is>
      </c>
      <c r="D89" t="inlineStr">
        <is>
          <t>5. 습도</t>
        </is>
      </c>
      <c r="E89" t="inlineStr">
        <is>
          <t>월 증발산량</t>
        </is>
      </c>
      <c r="F89" s="10" t="n">
        <v>10699.975</v>
      </c>
      <c r="G89" t="inlineStr">
        <is>
          <t>kg</t>
        </is>
      </c>
    </row>
    <row r="90">
      <c r="A90" t="inlineStr">
        <is>
          <t>S001-바질</t>
        </is>
      </c>
      <c r="B90" t="inlineStr">
        <is>
          <t>부산 금정구 농장</t>
        </is>
      </c>
      <c r="C90" t="inlineStr">
        <is>
          <t>바질</t>
        </is>
      </c>
      <c r="D90" t="inlineStr">
        <is>
          <t>6. 전기비</t>
        </is>
      </c>
      <c r="E90" t="inlineStr">
        <is>
          <t>월평균 총 전력량</t>
        </is>
      </c>
      <c r="F90" s="10" t="n">
        <v>20332.35380070949</v>
      </c>
      <c r="G90" t="inlineStr">
        <is>
          <t>kWh</t>
        </is>
      </c>
    </row>
    <row r="91">
      <c r="A91" t="inlineStr">
        <is>
          <t>S001-바질</t>
        </is>
      </c>
      <c r="B91" t="inlineStr">
        <is>
          <t>부산 금정구 농장</t>
        </is>
      </c>
      <c r="C91" t="inlineStr">
        <is>
          <t>바질</t>
        </is>
      </c>
      <c r="D91" t="inlineStr">
        <is>
          <t>6. 전기비</t>
        </is>
      </c>
      <c r="E91" t="inlineStr">
        <is>
          <t>월 전기비</t>
        </is>
      </c>
      <c r="F91" s="8" t="n">
        <v>3151514.83910997</v>
      </c>
      <c r="G91" t="inlineStr">
        <is>
          <t>원</t>
        </is>
      </c>
    </row>
    <row r="92">
      <c r="A92" t="inlineStr">
        <is>
          <t>S001-바질</t>
        </is>
      </c>
      <c r="B92" t="inlineStr">
        <is>
          <t>부산 금정구 농장</t>
        </is>
      </c>
      <c r="C92" t="inlineStr">
        <is>
          <t>바질</t>
        </is>
      </c>
      <c r="D92" t="inlineStr">
        <is>
          <t>7. 수도비</t>
        </is>
      </c>
      <c r="E92" t="inlineStr">
        <is>
          <t>배액률</t>
        </is>
      </c>
      <c r="F92" s="11" t="n">
        <v>0.3</v>
      </c>
      <c r="G92" t="inlineStr">
        <is>
          <t>%</t>
        </is>
      </c>
    </row>
    <row r="93">
      <c r="A93" t="inlineStr">
        <is>
          <t>S001-바질</t>
        </is>
      </c>
      <c r="B93" t="inlineStr">
        <is>
          <t>부산 금정구 농장</t>
        </is>
      </c>
      <c r="C93" t="inlineStr">
        <is>
          <t>바질</t>
        </is>
      </c>
      <c r="D93" t="inlineStr">
        <is>
          <t>7. 수도비</t>
        </is>
      </c>
      <c r="E93" t="inlineStr">
        <is>
          <t>월 작물 순소비량</t>
        </is>
      </c>
      <c r="F93" s="10" t="n">
        <v>10.699975</v>
      </c>
      <c r="G93" t="inlineStr">
        <is>
          <t>m³</t>
        </is>
      </c>
    </row>
    <row r="94">
      <c r="A94" t="inlineStr">
        <is>
          <t>S001-바질</t>
        </is>
      </c>
      <c r="B94" t="inlineStr">
        <is>
          <t>부산 금정구 농장</t>
        </is>
      </c>
      <c r="C94" t="inlineStr">
        <is>
          <t>바질</t>
        </is>
      </c>
      <c r="D94" t="inlineStr">
        <is>
          <t>7. 수도비</t>
        </is>
      </c>
      <c r="E94" t="inlineStr">
        <is>
          <t>월 배액량</t>
        </is>
      </c>
      <c r="F94" s="10" t="n">
        <v>4.585703571428574</v>
      </c>
      <c r="G94" t="inlineStr">
        <is>
          <t>m³</t>
        </is>
      </c>
    </row>
    <row r="95">
      <c r="A95" t="inlineStr">
        <is>
          <t>S001-바질</t>
        </is>
      </c>
      <c r="B95" t="inlineStr">
        <is>
          <t>부산 금정구 농장</t>
        </is>
      </c>
      <c r="C95" t="inlineStr">
        <is>
          <t>바질</t>
        </is>
      </c>
      <c r="D95" t="inlineStr">
        <is>
          <t>7. 수도비</t>
        </is>
      </c>
      <c r="E95" t="inlineStr">
        <is>
          <t>월 작물 관수량</t>
        </is>
      </c>
      <c r="F95" s="10" t="n">
        <v>15.28567857142858</v>
      </c>
      <c r="G95" t="inlineStr">
        <is>
          <t>m³</t>
        </is>
      </c>
    </row>
    <row r="96">
      <c r="A96" t="inlineStr">
        <is>
          <t>S001-바질</t>
        </is>
      </c>
      <c r="B96" t="inlineStr">
        <is>
          <t>부산 금정구 농장</t>
        </is>
      </c>
      <c r="C96" t="inlineStr">
        <is>
          <t>바질</t>
        </is>
      </c>
      <c r="D96" t="inlineStr">
        <is>
          <t>7. 수도비</t>
        </is>
      </c>
      <c r="E96" t="inlineStr">
        <is>
          <t>월 기타 용수량</t>
        </is>
      </c>
      <c r="F96" s="10" t="n">
        <v>0.9976666666666668</v>
      </c>
      <c r="G96" t="inlineStr">
        <is>
          <t>m³</t>
        </is>
      </c>
    </row>
    <row r="97">
      <c r="A97" t="inlineStr">
        <is>
          <t>S001-바질</t>
        </is>
      </c>
      <c r="B97" t="inlineStr">
        <is>
          <t>부산 금정구 농장</t>
        </is>
      </c>
      <c r="C97" t="inlineStr">
        <is>
          <t>바질</t>
        </is>
      </c>
      <c r="D97" t="inlineStr">
        <is>
          <t>7. 수도비</t>
        </is>
      </c>
      <c r="E97" t="inlineStr">
        <is>
          <t>월 총 용수량</t>
        </is>
      </c>
      <c r="F97" s="10" t="n">
        <v>16.28334523809524</v>
      </c>
      <c r="G97" t="inlineStr">
        <is>
          <t>m³</t>
        </is>
      </c>
    </row>
    <row r="98">
      <c r="A98" t="inlineStr">
        <is>
          <t>S001-바질</t>
        </is>
      </c>
      <c r="B98" t="inlineStr">
        <is>
          <t>부산 금정구 농장</t>
        </is>
      </c>
      <c r="C98" t="inlineStr">
        <is>
          <t>바질</t>
        </is>
      </c>
      <c r="D98" t="inlineStr">
        <is>
          <t>7. 수도비</t>
        </is>
      </c>
      <c r="E98" t="inlineStr">
        <is>
          <t>월 수도비</t>
        </is>
      </c>
      <c r="F98" s="8" t="n">
        <v>37451.69404761906</v>
      </c>
      <c r="G98" t="inlineStr">
        <is>
          <t>원</t>
        </is>
      </c>
    </row>
    <row r="99">
      <c r="A99" t="inlineStr">
        <is>
          <t>S001-바질</t>
        </is>
      </c>
      <c r="B99" t="inlineStr">
        <is>
          <t>부산 금정구 농장</t>
        </is>
      </c>
      <c r="C99" t="inlineStr">
        <is>
          <t>바질</t>
        </is>
      </c>
      <c r="D99" t="inlineStr">
        <is>
          <t>8. 재료비</t>
        </is>
      </c>
      <c r="E99" t="inlineStr">
        <is>
          <t>면적당 월 환산 모종비</t>
        </is>
      </c>
      <c r="F99" s="8" t="n">
        <v>5000</v>
      </c>
      <c r="G99" t="inlineStr">
        <is>
          <t>원/m²/month</t>
        </is>
      </c>
    </row>
    <row r="100">
      <c r="A100" t="inlineStr">
        <is>
          <t>S001-바질</t>
        </is>
      </c>
      <c r="B100" t="inlineStr">
        <is>
          <t>부산 금정구 농장</t>
        </is>
      </c>
      <c r="C100" t="inlineStr">
        <is>
          <t>바질</t>
        </is>
      </c>
      <c r="D100" t="inlineStr">
        <is>
          <t>8. 재료비</t>
        </is>
      </c>
      <c r="E100" t="inlineStr">
        <is>
          <t>월 모종비</t>
        </is>
      </c>
      <c r="F100" s="8" t="n">
        <v>1599000</v>
      </c>
      <c r="G100" t="inlineStr">
        <is>
          <t>원</t>
        </is>
      </c>
    </row>
    <row r="101">
      <c r="A101" t="inlineStr">
        <is>
          <t>S001-바질</t>
        </is>
      </c>
      <c r="B101" t="inlineStr">
        <is>
          <t>부산 금정구 농장</t>
        </is>
      </c>
      <c r="C101" t="inlineStr">
        <is>
          <t>바질</t>
        </is>
      </c>
      <c r="D101" t="inlineStr">
        <is>
          <t>8. 재료비</t>
        </is>
      </c>
      <c r="E101" t="inlineStr">
        <is>
          <t>월 양액 사용량</t>
        </is>
      </c>
      <c r="F101" s="10" t="n">
        <v>15.28567857142858</v>
      </c>
      <c r="G101" t="inlineStr">
        <is>
          <t>m³</t>
        </is>
      </c>
    </row>
    <row r="102">
      <c r="A102" t="inlineStr">
        <is>
          <t>S001-바질</t>
        </is>
      </c>
      <c r="B102" t="inlineStr">
        <is>
          <t>부산 금정구 농장</t>
        </is>
      </c>
      <c r="C102" t="inlineStr">
        <is>
          <t>바질</t>
        </is>
      </c>
      <c r="D102" t="inlineStr">
        <is>
          <t>8. 재료비</t>
        </is>
      </c>
      <c r="E102" t="inlineStr">
        <is>
          <t>월 양액비</t>
        </is>
      </c>
      <c r="F102" s="8" t="n">
        <v>305713.5714285715</v>
      </c>
      <c r="G102" t="inlineStr">
        <is>
          <t>원</t>
        </is>
      </c>
    </row>
    <row r="103">
      <c r="A103" t="inlineStr">
        <is>
          <t>S001-바질</t>
        </is>
      </c>
      <c r="B103" t="inlineStr">
        <is>
          <t>부산 금정구 농장</t>
        </is>
      </c>
      <c r="C103" t="inlineStr">
        <is>
          <t>바질</t>
        </is>
      </c>
      <c r="D103" t="inlineStr">
        <is>
          <t>8. 재료비</t>
        </is>
      </c>
      <c r="E103" t="inlineStr">
        <is>
          <t>월 재료비</t>
        </is>
      </c>
      <c r="F103" s="8" t="n">
        <v>1904713.571428572</v>
      </c>
      <c r="G103" t="inlineStr">
        <is>
          <t>원</t>
        </is>
      </c>
    </row>
    <row r="104">
      <c r="A104" t="inlineStr">
        <is>
          <t>S001-바질</t>
        </is>
      </c>
      <c r="B104" t="inlineStr">
        <is>
          <t>부산 금정구 농장</t>
        </is>
      </c>
      <c r="C104" t="inlineStr">
        <is>
          <t>바질</t>
        </is>
      </c>
      <c r="D104" t="inlineStr">
        <is>
          <t>9. 인건비</t>
        </is>
      </c>
      <c r="E104" t="inlineStr">
        <is>
          <t>월 노동시간</t>
        </is>
      </c>
      <c r="F104" s="10" t="n">
        <v>383.76</v>
      </c>
      <c r="G104" t="inlineStr">
        <is>
          <t>시간</t>
        </is>
      </c>
    </row>
    <row r="105">
      <c r="A105" t="inlineStr">
        <is>
          <t>S001-바질</t>
        </is>
      </c>
      <c r="B105" t="inlineStr">
        <is>
          <t>부산 금정구 농장</t>
        </is>
      </c>
      <c r="C105" t="inlineStr">
        <is>
          <t>바질</t>
        </is>
      </c>
      <c r="D105" t="inlineStr">
        <is>
          <t>9. 인건비</t>
        </is>
      </c>
      <c r="E105" t="inlineStr">
        <is>
          <t>월 인건비</t>
        </is>
      </c>
      <c r="F105" s="8" t="n">
        <v>3960403.200000001</v>
      </c>
      <c r="G105" t="inlineStr">
        <is>
          <t>원</t>
        </is>
      </c>
    </row>
    <row r="106">
      <c r="A106" t="inlineStr">
        <is>
          <t>S001-바질</t>
        </is>
      </c>
      <c r="B106" t="inlineStr">
        <is>
          <t>부산 금정구 농장</t>
        </is>
      </c>
      <c r="C106" t="inlineStr">
        <is>
          <t>바질</t>
        </is>
      </c>
      <c r="D106" t="inlineStr">
        <is>
          <t>10. 수익</t>
        </is>
      </c>
      <c r="E106" t="inlineStr">
        <is>
          <t>기기 대여비 적용면적</t>
        </is>
      </c>
      <c r="F106" s="10" t="n">
        <v>106.6</v>
      </c>
      <c r="G106" t="inlineStr">
        <is>
          <t>m²</t>
        </is>
      </c>
    </row>
    <row r="107">
      <c r="A107" t="inlineStr">
        <is>
          <t>S001-바질</t>
        </is>
      </c>
      <c r="B107" t="inlineStr">
        <is>
          <t>부산 금정구 농장</t>
        </is>
      </c>
      <c r="C107" t="inlineStr">
        <is>
          <t>바질</t>
        </is>
      </c>
      <c r="D107" t="inlineStr">
        <is>
          <t>10. 수익</t>
        </is>
      </c>
      <c r="E107" t="inlineStr">
        <is>
          <t>면적당 월 기기 대여비</t>
        </is>
      </c>
      <c r="F107" s="8" t="n">
        <v>22000</v>
      </c>
      <c r="G107" t="inlineStr">
        <is>
          <t>원/m²/month</t>
        </is>
      </c>
    </row>
    <row r="108">
      <c r="A108" t="inlineStr">
        <is>
          <t>S001-바질</t>
        </is>
      </c>
      <c r="B108" t="inlineStr">
        <is>
          <t>부산 금정구 농장</t>
        </is>
      </c>
      <c r="C108" t="inlineStr">
        <is>
          <t>바질</t>
        </is>
      </c>
      <c r="D108" t="inlineStr">
        <is>
          <t>10. 수익</t>
        </is>
      </c>
      <c r="E108" t="inlineStr">
        <is>
          <t>월 기기 대여비</t>
        </is>
      </c>
      <c r="F108" s="8" t="n">
        <v>2345200</v>
      </c>
      <c r="G108" t="inlineStr">
        <is>
          <t>원</t>
        </is>
      </c>
    </row>
    <row r="109">
      <c r="A109" t="inlineStr">
        <is>
          <t>S001-바질</t>
        </is>
      </c>
      <c r="B109" t="inlineStr">
        <is>
          <t>부산 금정구 농장</t>
        </is>
      </c>
      <c r="C109" t="inlineStr">
        <is>
          <t>바질</t>
        </is>
      </c>
      <c r="D109" t="inlineStr">
        <is>
          <t>10. 수익</t>
        </is>
      </c>
      <c r="E109" t="inlineStr">
        <is>
          <t>월 운영비</t>
        </is>
      </c>
      <c r="F109" s="8" t="n">
        <v>11699283.30458616</v>
      </c>
      <c r="G109" t="inlineStr">
        <is>
          <t>원</t>
        </is>
      </c>
    </row>
    <row r="110">
      <c r="A110" t="inlineStr">
        <is>
          <t>S001-바질</t>
        </is>
      </c>
      <c r="B110" t="inlineStr">
        <is>
          <t>부산 금정구 농장</t>
        </is>
      </c>
      <c r="C110" t="inlineStr">
        <is>
          <t>바질</t>
        </is>
      </c>
      <c r="D110" t="inlineStr">
        <is>
          <t>10. 수익</t>
        </is>
      </c>
      <c r="E110" t="inlineStr">
        <is>
          <t>월 영업이익</t>
        </is>
      </c>
      <c r="F110" s="8" t="n">
        <v>5569916.695413843</v>
      </c>
      <c r="G110" t="inlineStr">
        <is>
          <t>원</t>
        </is>
      </c>
    </row>
    <row r="111">
      <c r="A111" t="inlineStr">
        <is>
          <t>S001-바질</t>
        </is>
      </c>
      <c r="B111" t="inlineStr">
        <is>
          <t>부산 금정구 농장</t>
        </is>
      </c>
      <c r="C111" t="inlineStr">
        <is>
          <t>바질</t>
        </is>
      </c>
      <c r="D111" t="inlineStr">
        <is>
          <t>10. 수익</t>
        </is>
      </c>
      <c r="E111" t="inlineStr">
        <is>
          <t>공간 대여자 예상수익</t>
        </is>
      </c>
      <c r="F111" s="8" t="n">
        <v>4455933.356331075</v>
      </c>
      <c r="G111" t="inlineStr">
        <is>
          <t>원</t>
        </is>
      </c>
    </row>
    <row r="112">
      <c r="A112" t="inlineStr">
        <is>
          <t>S001-바질</t>
        </is>
      </c>
      <c r="B112" t="inlineStr">
        <is>
          <t>부산 금정구 농장</t>
        </is>
      </c>
      <c r="C112" t="inlineStr">
        <is>
          <t>바질</t>
        </is>
      </c>
      <c r="D112" t="inlineStr">
        <is>
          <t>10. 수익</t>
        </is>
      </c>
      <c r="E112" t="inlineStr">
        <is>
          <t>원하는 월세</t>
        </is>
      </c>
      <c r="F112" s="8" t="n">
        <v>1200000</v>
      </c>
      <c r="G112" t="inlineStr">
        <is>
          <t>원</t>
        </is>
      </c>
    </row>
    <row r="113">
      <c r="A113" t="inlineStr">
        <is>
          <t>S001-바질</t>
        </is>
      </c>
      <c r="B113" t="inlineStr">
        <is>
          <t>부산 금정구 농장</t>
        </is>
      </c>
      <c r="C113" t="inlineStr">
        <is>
          <t>바질</t>
        </is>
      </c>
      <c r="D113" t="inlineStr">
        <is>
          <t>10. 수익</t>
        </is>
      </c>
      <c r="E113" t="inlineStr">
        <is>
          <t>공실 월세 대비 차이</t>
        </is>
      </c>
      <c r="F113" s="8" t="n">
        <v>3255933.356331075</v>
      </c>
      <c r="G113" t="inlineStr">
        <is>
          <t>원</t>
        </is>
      </c>
    </row>
    <row r="114">
      <c r="A114" t="inlineStr">
        <is>
          <t>S001-바질</t>
        </is>
      </c>
      <c r="B114" t="inlineStr">
        <is>
          <t>부산 금정구 농장</t>
        </is>
      </c>
      <c r="C114" t="inlineStr">
        <is>
          <t>바질</t>
        </is>
      </c>
      <c r="D114" t="inlineStr">
        <is>
          <t>10. 수익</t>
        </is>
      </c>
      <c r="E114" t="inlineStr">
        <is>
          <t>사업장 영업이익</t>
        </is>
      </c>
      <c r="F114" s="8" t="n">
        <v>1113983.339082768</v>
      </c>
      <c r="G114" t="inlineStr">
        <is>
          <t>원</t>
        </is>
      </c>
    </row>
    <row r="115">
      <c r="A115" t="inlineStr">
        <is>
          <t>S001-애플민트</t>
        </is>
      </c>
      <c r="B115" t="inlineStr">
        <is>
          <t>부산 금정구 농장</t>
        </is>
      </c>
      <c r="C115" t="inlineStr">
        <is>
          <t>애플민트</t>
        </is>
      </c>
      <c r="D115" t="inlineStr">
        <is>
          <t>1. 공간</t>
        </is>
      </c>
      <c r="E115" t="inlineStr">
        <is>
          <t>공실 전체면적</t>
        </is>
      </c>
      <c r="F115" s="10" t="n">
        <v>164</v>
      </c>
      <c r="G115" t="inlineStr">
        <is>
          <t>m²</t>
        </is>
      </c>
    </row>
    <row r="116">
      <c r="A116" t="inlineStr">
        <is>
          <t>S001-애플민트</t>
        </is>
      </c>
      <c r="B116" t="inlineStr">
        <is>
          <t>부산 금정구 농장</t>
        </is>
      </c>
      <c r="C116" t="inlineStr">
        <is>
          <t>애플민트</t>
        </is>
      </c>
      <c r="D116" t="inlineStr">
        <is>
          <t>1. 공간</t>
        </is>
      </c>
      <c r="E116" t="inlineStr">
        <is>
          <t>사용가능 바닥면적</t>
        </is>
      </c>
      <c r="F116" s="10" t="n">
        <v>106.6</v>
      </c>
      <c r="G116" t="inlineStr">
        <is>
          <t>m²</t>
        </is>
      </c>
    </row>
    <row r="117">
      <c r="A117" t="inlineStr">
        <is>
          <t>S001-애플민트</t>
        </is>
      </c>
      <c r="B117" t="inlineStr">
        <is>
          <t>부산 금정구 농장</t>
        </is>
      </c>
      <c r="C117" t="inlineStr">
        <is>
          <t>애플민트</t>
        </is>
      </c>
      <c r="D117" t="inlineStr">
        <is>
          <t>1. 공간</t>
        </is>
      </c>
      <c r="E117" t="inlineStr">
        <is>
          <t>작물별 모듈 층 수</t>
        </is>
      </c>
      <c r="F117" s="8" t="n">
        <v>4</v>
      </c>
      <c r="G117" t="inlineStr">
        <is>
          <t>층</t>
        </is>
      </c>
    </row>
    <row r="118">
      <c r="A118" t="inlineStr">
        <is>
          <t>S001-애플민트</t>
        </is>
      </c>
      <c r="B118" t="inlineStr">
        <is>
          <t>부산 금정구 농장</t>
        </is>
      </c>
      <c r="C118" t="inlineStr">
        <is>
          <t>애플민트</t>
        </is>
      </c>
      <c r="D118" t="inlineStr">
        <is>
          <t>1. 공간</t>
        </is>
      </c>
      <c r="E118" t="inlineStr">
        <is>
          <t>재배면적</t>
        </is>
      </c>
      <c r="F118" s="10" t="n">
        <v>426.4</v>
      </c>
      <c r="G118" t="inlineStr">
        <is>
          <t>m²</t>
        </is>
      </c>
    </row>
    <row r="119">
      <c r="A119" t="inlineStr">
        <is>
          <t>S001-애플민트</t>
        </is>
      </c>
      <c r="B119" t="inlineStr">
        <is>
          <t>부산 금정구 농장</t>
        </is>
      </c>
      <c r="C119" t="inlineStr">
        <is>
          <t>애플민트</t>
        </is>
      </c>
      <c r="D119" t="inlineStr">
        <is>
          <t>1. 공간</t>
        </is>
      </c>
      <c r="E119" t="inlineStr">
        <is>
          <t>공간 체적</t>
        </is>
      </c>
      <c r="F119" s="10" t="n">
        <v>410</v>
      </c>
      <c r="G119" t="inlineStr">
        <is>
          <t>m³</t>
        </is>
      </c>
    </row>
    <row r="120">
      <c r="A120" t="inlineStr">
        <is>
          <t>S001-애플민트</t>
        </is>
      </c>
      <c r="B120" t="inlineStr">
        <is>
          <t>부산 금정구 농장</t>
        </is>
      </c>
      <c r="C120" t="inlineStr">
        <is>
          <t>애플민트</t>
        </is>
      </c>
      <c r="D120" t="inlineStr">
        <is>
          <t>2. 생산</t>
        </is>
      </c>
      <c r="E120" t="inlineStr">
        <is>
          <t>월 총생산량</t>
        </is>
      </c>
      <c r="F120" s="10" t="n">
        <v>579.9040000000001</v>
      </c>
      <c r="G120" t="inlineStr">
        <is>
          <t>kg</t>
        </is>
      </c>
    </row>
    <row r="121">
      <c r="A121" t="inlineStr">
        <is>
          <t>S001-애플민트</t>
        </is>
      </c>
      <c r="B121" t="inlineStr">
        <is>
          <t>부산 금정구 농장</t>
        </is>
      </c>
      <c r="C121" t="inlineStr">
        <is>
          <t>애플민트</t>
        </is>
      </c>
      <c r="D121" t="inlineStr">
        <is>
          <t>2. 생산</t>
        </is>
      </c>
      <c r="E121" t="inlineStr">
        <is>
          <t>월 판매량</t>
        </is>
      </c>
      <c r="F121" s="10" t="n">
        <v>521.9136000000001</v>
      </c>
      <c r="G121" t="inlineStr">
        <is>
          <t>kg</t>
        </is>
      </c>
    </row>
    <row r="122">
      <c r="A122" t="inlineStr">
        <is>
          <t>S001-애플민트</t>
        </is>
      </c>
      <c r="B122" t="inlineStr">
        <is>
          <t>부산 금정구 농장</t>
        </is>
      </c>
      <c r="C122" t="inlineStr">
        <is>
          <t>애플민트</t>
        </is>
      </c>
      <c r="D122" t="inlineStr">
        <is>
          <t>3. 매출</t>
        </is>
      </c>
      <c r="E122" t="inlineStr">
        <is>
          <t>판매가격</t>
        </is>
      </c>
      <c r="F122" s="8" t="n">
        <v>60000</v>
      </c>
      <c r="G122" t="inlineStr">
        <is>
          <t>원/kg</t>
        </is>
      </c>
    </row>
    <row r="123">
      <c r="A123" t="inlineStr">
        <is>
          <t>S001-애플민트</t>
        </is>
      </c>
      <c r="B123" t="inlineStr">
        <is>
          <t>부산 금정구 농장</t>
        </is>
      </c>
      <c r="C123" t="inlineStr">
        <is>
          <t>애플민트</t>
        </is>
      </c>
      <c r="D123" t="inlineStr">
        <is>
          <t>3. 매출</t>
        </is>
      </c>
      <c r="E123" t="inlineStr">
        <is>
          <t>월 매출</t>
        </is>
      </c>
      <c r="F123" s="8" t="n">
        <v>31314816</v>
      </c>
      <c r="G123" t="inlineStr">
        <is>
          <t>원</t>
        </is>
      </c>
    </row>
    <row r="124">
      <c r="A124" t="inlineStr">
        <is>
          <t>S001-애플민트</t>
        </is>
      </c>
      <c r="B124" t="inlineStr">
        <is>
          <t>부산 금정구 농장</t>
        </is>
      </c>
      <c r="C124" t="inlineStr">
        <is>
          <t>애플민트</t>
        </is>
      </c>
      <c r="D124" t="inlineStr">
        <is>
          <t>4. 조명·냉난방</t>
        </is>
      </c>
      <c r="E124" t="inlineStr">
        <is>
          <t>필요 조명전력</t>
        </is>
      </c>
      <c r="F124" s="10" t="n">
        <v>25888.57142857143</v>
      </c>
      <c r="G124" t="inlineStr">
        <is>
          <t>W</t>
        </is>
      </c>
    </row>
    <row r="125">
      <c r="A125" t="inlineStr">
        <is>
          <t>S001-애플민트</t>
        </is>
      </c>
      <c r="B125" t="inlineStr">
        <is>
          <t>부산 금정구 농장</t>
        </is>
      </c>
      <c r="C125" t="inlineStr">
        <is>
          <t>애플민트</t>
        </is>
      </c>
      <c r="D125" t="inlineStr">
        <is>
          <t>4. 조명·냉난방</t>
        </is>
      </c>
      <c r="E125" t="inlineStr">
        <is>
          <t>월 조명전력량</t>
        </is>
      </c>
      <c r="F125" s="10" t="n">
        <v>9449.328571428572</v>
      </c>
      <c r="G125" t="inlineStr">
        <is>
          <t>kWh</t>
        </is>
      </c>
    </row>
    <row r="126">
      <c r="A126" t="inlineStr">
        <is>
          <t>S001-애플민트</t>
        </is>
      </c>
      <c r="B126" t="inlineStr">
        <is>
          <t>부산 금정구 농장</t>
        </is>
      </c>
      <c r="C126" t="inlineStr">
        <is>
          <t>애플민트</t>
        </is>
      </c>
      <c r="D126" t="inlineStr">
        <is>
          <t>5. 습도</t>
        </is>
      </c>
      <c r="E126" t="inlineStr">
        <is>
          <t>월 증발산량</t>
        </is>
      </c>
      <c r="F126" s="10" t="n">
        <v>28533.26666666667</v>
      </c>
      <c r="G126" t="inlineStr">
        <is>
          <t>kg</t>
        </is>
      </c>
    </row>
    <row r="127">
      <c r="A127" t="inlineStr">
        <is>
          <t>S001-애플민트</t>
        </is>
      </c>
      <c r="B127" t="inlineStr">
        <is>
          <t>부산 금정구 농장</t>
        </is>
      </c>
      <c r="C127" t="inlineStr">
        <is>
          <t>애플민트</t>
        </is>
      </c>
      <c r="D127" t="inlineStr">
        <is>
          <t>6. 전기비</t>
        </is>
      </c>
      <c r="E127" t="inlineStr">
        <is>
          <t>월평균 총 전력량</t>
        </is>
      </c>
      <c r="F127" s="10" t="n">
        <v>24496.30963994631</v>
      </c>
      <c r="G127" t="inlineStr">
        <is>
          <t>kWh</t>
        </is>
      </c>
    </row>
    <row r="128">
      <c r="A128" t="inlineStr">
        <is>
          <t>S001-애플민트</t>
        </is>
      </c>
      <c r="B128" t="inlineStr">
        <is>
          <t>부산 금정구 농장</t>
        </is>
      </c>
      <c r="C128" t="inlineStr">
        <is>
          <t>애플민트</t>
        </is>
      </c>
      <c r="D128" t="inlineStr">
        <is>
          <t>6. 전기비</t>
        </is>
      </c>
      <c r="E128" t="inlineStr">
        <is>
          <t>월 전기비</t>
        </is>
      </c>
      <c r="F128" s="8" t="n">
        <v>3796927.994191677</v>
      </c>
      <c r="G128" t="inlineStr">
        <is>
          <t>원</t>
        </is>
      </c>
    </row>
    <row r="129">
      <c r="A129" t="inlineStr">
        <is>
          <t>S001-애플민트</t>
        </is>
      </c>
      <c r="B129" t="inlineStr">
        <is>
          <t>부산 금정구 농장</t>
        </is>
      </c>
      <c r="C129" t="inlineStr">
        <is>
          <t>애플민트</t>
        </is>
      </c>
      <c r="D129" t="inlineStr">
        <is>
          <t>7. 수도비</t>
        </is>
      </c>
      <c r="E129" t="inlineStr">
        <is>
          <t>배액률</t>
        </is>
      </c>
      <c r="F129" s="11" t="n">
        <v>0.3</v>
      </c>
      <c r="G129" t="inlineStr">
        <is>
          <t>%</t>
        </is>
      </c>
    </row>
    <row r="130">
      <c r="A130" t="inlineStr">
        <is>
          <t>S001-애플민트</t>
        </is>
      </c>
      <c r="B130" t="inlineStr">
        <is>
          <t>부산 금정구 농장</t>
        </is>
      </c>
      <c r="C130" t="inlineStr">
        <is>
          <t>애플민트</t>
        </is>
      </c>
      <c r="D130" t="inlineStr">
        <is>
          <t>7. 수도비</t>
        </is>
      </c>
      <c r="E130" t="inlineStr">
        <is>
          <t>월 작물 순소비량</t>
        </is>
      </c>
      <c r="F130" s="10" t="n">
        <v>28.53326666666667</v>
      </c>
      <c r="G130" t="inlineStr">
        <is>
          <t>m³</t>
        </is>
      </c>
    </row>
    <row r="131">
      <c r="A131" t="inlineStr">
        <is>
          <t>S001-애플민트</t>
        </is>
      </c>
      <c r="B131" t="inlineStr">
        <is>
          <t>부산 금정구 농장</t>
        </is>
      </c>
      <c r="C131" t="inlineStr">
        <is>
          <t>애플민트</t>
        </is>
      </c>
      <c r="D131" t="inlineStr">
        <is>
          <t>7. 수도비</t>
        </is>
      </c>
      <c r="E131" t="inlineStr">
        <is>
          <t>월 배액량</t>
        </is>
      </c>
      <c r="F131" s="10" t="n">
        <v>12.22854285714286</v>
      </c>
      <c r="G131" t="inlineStr">
        <is>
          <t>m³</t>
        </is>
      </c>
    </row>
    <row r="132">
      <c r="A132" t="inlineStr">
        <is>
          <t>S001-애플민트</t>
        </is>
      </c>
      <c r="B132" t="inlineStr">
        <is>
          <t>부산 금정구 농장</t>
        </is>
      </c>
      <c r="C132" t="inlineStr">
        <is>
          <t>애플민트</t>
        </is>
      </c>
      <c r="D132" t="inlineStr">
        <is>
          <t>7. 수도비</t>
        </is>
      </c>
      <c r="E132" t="inlineStr">
        <is>
          <t>월 작물 관수량</t>
        </is>
      </c>
      <c r="F132" s="10" t="n">
        <v>40.76180952380953</v>
      </c>
      <c r="G132" t="inlineStr">
        <is>
          <t>m³</t>
        </is>
      </c>
    </row>
    <row r="133">
      <c r="A133" t="inlineStr">
        <is>
          <t>S001-애플민트</t>
        </is>
      </c>
      <c r="B133" t="inlineStr">
        <is>
          <t>부산 금정구 농장</t>
        </is>
      </c>
      <c r="C133" t="inlineStr">
        <is>
          <t>애플민트</t>
        </is>
      </c>
      <c r="D133" t="inlineStr">
        <is>
          <t>7. 수도비</t>
        </is>
      </c>
      <c r="E133" t="inlineStr">
        <is>
          <t>월 기타 용수량</t>
        </is>
      </c>
      <c r="F133" s="10" t="n">
        <v>0.9976666666666668</v>
      </c>
      <c r="G133" t="inlineStr">
        <is>
          <t>m³</t>
        </is>
      </c>
    </row>
    <row r="134">
      <c r="A134" t="inlineStr">
        <is>
          <t>S001-애플민트</t>
        </is>
      </c>
      <c r="B134" t="inlineStr">
        <is>
          <t>부산 금정구 농장</t>
        </is>
      </c>
      <c r="C134" t="inlineStr">
        <is>
          <t>애플민트</t>
        </is>
      </c>
      <c r="D134" t="inlineStr">
        <is>
          <t>7. 수도비</t>
        </is>
      </c>
      <c r="E134" t="inlineStr">
        <is>
          <t>월 총 용수량</t>
        </is>
      </c>
      <c r="F134" s="10" t="n">
        <v>41.7594761904762</v>
      </c>
      <c r="G134" t="inlineStr">
        <is>
          <t>m³</t>
        </is>
      </c>
    </row>
    <row r="135">
      <c r="A135" t="inlineStr">
        <is>
          <t>S001-애플민트</t>
        </is>
      </c>
      <c r="B135" t="inlineStr">
        <is>
          <t>부산 금정구 농장</t>
        </is>
      </c>
      <c r="C135" t="inlineStr">
        <is>
          <t>애플민트</t>
        </is>
      </c>
      <c r="D135" t="inlineStr">
        <is>
          <t>7. 수도비</t>
        </is>
      </c>
      <c r="E135" t="inlineStr">
        <is>
          <t>월 수도비</t>
        </is>
      </c>
      <c r="F135" s="8" t="n">
        <v>96046.79523809526</v>
      </c>
      <c r="G135" t="inlineStr">
        <is>
          <t>원</t>
        </is>
      </c>
    </row>
    <row r="136">
      <c r="A136" t="inlineStr">
        <is>
          <t>S001-애플민트</t>
        </is>
      </c>
      <c r="B136" t="inlineStr">
        <is>
          <t>부산 금정구 농장</t>
        </is>
      </c>
      <c r="C136" t="inlineStr">
        <is>
          <t>애플민트</t>
        </is>
      </c>
      <c r="D136" t="inlineStr">
        <is>
          <t>8. 재료비</t>
        </is>
      </c>
      <c r="E136" t="inlineStr">
        <is>
          <t>면적당 월 환산 모종비</t>
        </is>
      </c>
      <c r="F136" s="8" t="n">
        <v>2000</v>
      </c>
      <c r="G136" t="inlineStr">
        <is>
          <t>원/m²/month</t>
        </is>
      </c>
    </row>
    <row r="137">
      <c r="A137" t="inlineStr">
        <is>
          <t>S001-애플민트</t>
        </is>
      </c>
      <c r="B137" t="inlineStr">
        <is>
          <t>부산 금정구 농장</t>
        </is>
      </c>
      <c r="C137" t="inlineStr">
        <is>
          <t>애플민트</t>
        </is>
      </c>
      <c r="D137" t="inlineStr">
        <is>
          <t>8. 재료비</t>
        </is>
      </c>
      <c r="E137" t="inlineStr">
        <is>
          <t>월 모종비</t>
        </is>
      </c>
      <c r="F137" s="8" t="n">
        <v>852800.0000000001</v>
      </c>
      <c r="G137" t="inlineStr">
        <is>
          <t>원</t>
        </is>
      </c>
    </row>
    <row r="138">
      <c r="A138" t="inlineStr">
        <is>
          <t>S001-애플민트</t>
        </is>
      </c>
      <c r="B138" t="inlineStr">
        <is>
          <t>부산 금정구 농장</t>
        </is>
      </c>
      <c r="C138" t="inlineStr">
        <is>
          <t>애플민트</t>
        </is>
      </c>
      <c r="D138" t="inlineStr">
        <is>
          <t>8. 재료비</t>
        </is>
      </c>
      <c r="E138" t="inlineStr">
        <is>
          <t>월 양액 사용량</t>
        </is>
      </c>
      <c r="F138" s="10" t="n">
        <v>40.76180952380953</v>
      </c>
      <c r="G138" t="inlineStr">
        <is>
          <t>m³</t>
        </is>
      </c>
    </row>
    <row r="139">
      <c r="A139" t="inlineStr">
        <is>
          <t>S001-애플민트</t>
        </is>
      </c>
      <c r="B139" t="inlineStr">
        <is>
          <t>부산 금정구 농장</t>
        </is>
      </c>
      <c r="C139" t="inlineStr">
        <is>
          <t>애플민트</t>
        </is>
      </c>
      <c r="D139" t="inlineStr">
        <is>
          <t>8. 재료비</t>
        </is>
      </c>
      <c r="E139" t="inlineStr">
        <is>
          <t>월 양액비</t>
        </is>
      </c>
      <c r="F139" s="8" t="n">
        <v>815236.1904761906</v>
      </c>
      <c r="G139" t="inlineStr">
        <is>
          <t>원</t>
        </is>
      </c>
    </row>
    <row r="140">
      <c r="A140" t="inlineStr">
        <is>
          <t>S001-애플민트</t>
        </is>
      </c>
      <c r="B140" t="inlineStr">
        <is>
          <t>부산 금정구 농장</t>
        </is>
      </c>
      <c r="C140" t="inlineStr">
        <is>
          <t>애플민트</t>
        </is>
      </c>
      <c r="D140" t="inlineStr">
        <is>
          <t>8. 재료비</t>
        </is>
      </c>
      <c r="E140" t="inlineStr">
        <is>
          <t>월 재료비</t>
        </is>
      </c>
      <c r="F140" s="8" t="n">
        <v>1668036.190476191</v>
      </c>
      <c r="G140" t="inlineStr">
        <is>
          <t>원</t>
        </is>
      </c>
    </row>
    <row r="141">
      <c r="A141" t="inlineStr">
        <is>
          <t>S001-애플민트</t>
        </is>
      </c>
      <c r="B141" t="inlineStr">
        <is>
          <t>부산 금정구 농장</t>
        </is>
      </c>
      <c r="C141" t="inlineStr">
        <is>
          <t>애플민트</t>
        </is>
      </c>
      <c r="D141" t="inlineStr">
        <is>
          <t>9. 인건비</t>
        </is>
      </c>
      <c r="E141" t="inlineStr">
        <is>
          <t>월 노동시간</t>
        </is>
      </c>
      <c r="F141" s="10" t="n">
        <v>289.9520000000001</v>
      </c>
      <c r="G141" t="inlineStr">
        <is>
          <t>시간</t>
        </is>
      </c>
    </row>
    <row r="142">
      <c r="A142" t="inlineStr">
        <is>
          <t>S001-애플민트</t>
        </is>
      </c>
      <c r="B142" t="inlineStr">
        <is>
          <t>부산 금정구 농장</t>
        </is>
      </c>
      <c r="C142" t="inlineStr">
        <is>
          <t>애플민트</t>
        </is>
      </c>
      <c r="D142" t="inlineStr">
        <is>
          <t>9. 인건비</t>
        </is>
      </c>
      <c r="E142" t="inlineStr">
        <is>
          <t>월 인건비</t>
        </is>
      </c>
      <c r="F142" s="8" t="n">
        <v>2992304.640000001</v>
      </c>
      <c r="G142" t="inlineStr">
        <is>
          <t>원</t>
        </is>
      </c>
    </row>
    <row r="143">
      <c r="A143" t="inlineStr">
        <is>
          <t>S001-애플민트</t>
        </is>
      </c>
      <c r="B143" t="inlineStr">
        <is>
          <t>부산 금정구 농장</t>
        </is>
      </c>
      <c r="C143" t="inlineStr">
        <is>
          <t>애플민트</t>
        </is>
      </c>
      <c r="D143" t="inlineStr">
        <is>
          <t>10. 수익</t>
        </is>
      </c>
      <c r="E143" t="inlineStr">
        <is>
          <t>기기 대여비 적용면적</t>
        </is>
      </c>
      <c r="F143" s="10" t="n">
        <v>106.6</v>
      </c>
      <c r="G143" t="inlineStr">
        <is>
          <t>m²</t>
        </is>
      </c>
    </row>
    <row r="144">
      <c r="A144" t="inlineStr">
        <is>
          <t>S001-애플민트</t>
        </is>
      </c>
      <c r="B144" t="inlineStr">
        <is>
          <t>부산 금정구 농장</t>
        </is>
      </c>
      <c r="C144" t="inlineStr">
        <is>
          <t>애플민트</t>
        </is>
      </c>
      <c r="D144" t="inlineStr">
        <is>
          <t>10. 수익</t>
        </is>
      </c>
      <c r="E144" t="inlineStr">
        <is>
          <t>면적당 월 기기 대여비</t>
        </is>
      </c>
      <c r="F144" s="8" t="n">
        <v>22000</v>
      </c>
      <c r="G144" t="inlineStr">
        <is>
          <t>원/m²/month</t>
        </is>
      </c>
    </row>
    <row r="145">
      <c r="A145" t="inlineStr">
        <is>
          <t>S001-애플민트</t>
        </is>
      </c>
      <c r="B145" t="inlineStr">
        <is>
          <t>부산 금정구 농장</t>
        </is>
      </c>
      <c r="C145" t="inlineStr">
        <is>
          <t>애플민트</t>
        </is>
      </c>
      <c r="D145" t="inlineStr">
        <is>
          <t>10. 수익</t>
        </is>
      </c>
      <c r="E145" t="inlineStr">
        <is>
          <t>월 기기 대여비</t>
        </is>
      </c>
      <c r="F145" s="8" t="n">
        <v>2345200</v>
      </c>
      <c r="G145" t="inlineStr">
        <is>
          <t>원</t>
        </is>
      </c>
    </row>
    <row r="146">
      <c r="A146" t="inlineStr">
        <is>
          <t>S001-애플민트</t>
        </is>
      </c>
      <c r="B146" t="inlineStr">
        <is>
          <t>부산 금정구 농장</t>
        </is>
      </c>
      <c r="C146" t="inlineStr">
        <is>
          <t>애플민트</t>
        </is>
      </c>
      <c r="D146" t="inlineStr">
        <is>
          <t>10. 수익</t>
        </is>
      </c>
      <c r="E146" t="inlineStr">
        <is>
          <t>월 운영비</t>
        </is>
      </c>
      <c r="F146" s="8" t="n">
        <v>11198515.61990596</v>
      </c>
      <c r="G146" t="inlineStr">
        <is>
          <t>원</t>
        </is>
      </c>
    </row>
    <row r="147">
      <c r="A147" t="inlineStr">
        <is>
          <t>S001-애플민트</t>
        </is>
      </c>
      <c r="B147" t="inlineStr">
        <is>
          <t>부산 금정구 농장</t>
        </is>
      </c>
      <c r="C147" t="inlineStr">
        <is>
          <t>애플민트</t>
        </is>
      </c>
      <c r="D147" t="inlineStr">
        <is>
          <t>10. 수익</t>
        </is>
      </c>
      <c r="E147" t="inlineStr">
        <is>
          <t>월 영업이익</t>
        </is>
      </c>
      <c r="F147" s="8" t="n">
        <v>20116300.38009404</v>
      </c>
      <c r="G147" t="inlineStr">
        <is>
          <t>원</t>
        </is>
      </c>
    </row>
    <row r="148">
      <c r="A148" t="inlineStr">
        <is>
          <t>S001-애플민트</t>
        </is>
      </c>
      <c r="B148" t="inlineStr">
        <is>
          <t>부산 금정구 농장</t>
        </is>
      </c>
      <c r="C148" t="inlineStr">
        <is>
          <t>애플민트</t>
        </is>
      </c>
      <c r="D148" t="inlineStr">
        <is>
          <t>10. 수익</t>
        </is>
      </c>
      <c r="E148" t="inlineStr">
        <is>
          <t>공간 대여자 예상수익</t>
        </is>
      </c>
      <c r="F148" s="8" t="n">
        <v>16093040.30407523</v>
      </c>
      <c r="G148" t="inlineStr">
        <is>
          <t>원</t>
        </is>
      </c>
    </row>
    <row r="149">
      <c r="A149" t="inlineStr">
        <is>
          <t>S001-애플민트</t>
        </is>
      </c>
      <c r="B149" t="inlineStr">
        <is>
          <t>부산 금정구 농장</t>
        </is>
      </c>
      <c r="C149" t="inlineStr">
        <is>
          <t>애플민트</t>
        </is>
      </c>
      <c r="D149" t="inlineStr">
        <is>
          <t>10. 수익</t>
        </is>
      </c>
      <c r="E149" t="inlineStr">
        <is>
          <t>원하는 월세</t>
        </is>
      </c>
      <c r="F149" s="8" t="n">
        <v>1200000</v>
      </c>
      <c r="G149" t="inlineStr">
        <is>
          <t>원</t>
        </is>
      </c>
    </row>
    <row r="150">
      <c r="A150" t="inlineStr">
        <is>
          <t>S001-애플민트</t>
        </is>
      </c>
      <c r="B150" t="inlineStr">
        <is>
          <t>부산 금정구 농장</t>
        </is>
      </c>
      <c r="C150" t="inlineStr">
        <is>
          <t>애플민트</t>
        </is>
      </c>
      <c r="D150" t="inlineStr">
        <is>
          <t>10. 수익</t>
        </is>
      </c>
      <c r="E150" t="inlineStr">
        <is>
          <t>공실 월세 대비 차이</t>
        </is>
      </c>
      <c r="F150" s="8" t="n">
        <v>14893040.30407523</v>
      </c>
      <c r="G150" t="inlineStr">
        <is>
          <t>원</t>
        </is>
      </c>
    </row>
    <row r="151">
      <c r="A151" t="inlineStr">
        <is>
          <t>S001-애플민트</t>
        </is>
      </c>
      <c r="B151" t="inlineStr">
        <is>
          <t>부산 금정구 농장</t>
        </is>
      </c>
      <c r="C151" t="inlineStr">
        <is>
          <t>애플민트</t>
        </is>
      </c>
      <c r="D151" t="inlineStr">
        <is>
          <t>10. 수익</t>
        </is>
      </c>
      <c r="E151" t="inlineStr">
        <is>
          <t>사업장 영업이익</t>
        </is>
      </c>
      <c r="F151" s="8" t="n">
        <v>4023260.076018807</v>
      </c>
      <c r="G151" t="inlineStr">
        <is>
          <t>원</t>
        </is>
      </c>
    </row>
    <row r="152">
      <c r="A152" t="inlineStr">
        <is>
          <t>S001-쪽파</t>
        </is>
      </c>
      <c r="B152" t="inlineStr">
        <is>
          <t>부산 금정구 농장</t>
        </is>
      </c>
      <c r="C152" t="inlineStr">
        <is>
          <t>쪽파</t>
        </is>
      </c>
      <c r="D152" t="inlineStr">
        <is>
          <t>1. 공간</t>
        </is>
      </c>
      <c r="E152" t="inlineStr">
        <is>
          <t>공실 전체면적</t>
        </is>
      </c>
      <c r="F152" s="10" t="n">
        <v>164</v>
      </c>
      <c r="G152" t="inlineStr">
        <is>
          <t>m²</t>
        </is>
      </c>
    </row>
    <row r="153">
      <c r="A153" t="inlineStr">
        <is>
          <t>S001-쪽파</t>
        </is>
      </c>
      <c r="B153" t="inlineStr">
        <is>
          <t>부산 금정구 농장</t>
        </is>
      </c>
      <c r="C153" t="inlineStr">
        <is>
          <t>쪽파</t>
        </is>
      </c>
      <c r="D153" t="inlineStr">
        <is>
          <t>1. 공간</t>
        </is>
      </c>
      <c r="E153" t="inlineStr">
        <is>
          <t>사용가능 바닥면적</t>
        </is>
      </c>
      <c r="F153" s="10" t="n">
        <v>106.6</v>
      </c>
      <c r="G153" t="inlineStr">
        <is>
          <t>m²</t>
        </is>
      </c>
    </row>
    <row r="154">
      <c r="A154" t="inlineStr">
        <is>
          <t>S001-쪽파</t>
        </is>
      </c>
      <c r="B154" t="inlineStr">
        <is>
          <t>부산 금정구 농장</t>
        </is>
      </c>
      <c r="C154" t="inlineStr">
        <is>
          <t>쪽파</t>
        </is>
      </c>
      <c r="D154" t="inlineStr">
        <is>
          <t>1. 공간</t>
        </is>
      </c>
      <c r="E154" t="inlineStr">
        <is>
          <t>작물별 모듈 층 수</t>
        </is>
      </c>
      <c r="F154" s="8" t="n">
        <v>3</v>
      </c>
      <c r="G154" t="inlineStr">
        <is>
          <t>층</t>
        </is>
      </c>
    </row>
    <row r="155">
      <c r="A155" t="inlineStr">
        <is>
          <t>S001-쪽파</t>
        </is>
      </c>
      <c r="B155" t="inlineStr">
        <is>
          <t>부산 금정구 농장</t>
        </is>
      </c>
      <c r="C155" t="inlineStr">
        <is>
          <t>쪽파</t>
        </is>
      </c>
      <c r="D155" t="inlineStr">
        <is>
          <t>1. 공간</t>
        </is>
      </c>
      <c r="E155" t="inlineStr">
        <is>
          <t>재배면적</t>
        </is>
      </c>
      <c r="F155" s="10" t="n">
        <v>319.8</v>
      </c>
      <c r="G155" t="inlineStr">
        <is>
          <t>m²</t>
        </is>
      </c>
    </row>
    <row r="156">
      <c r="A156" t="inlineStr">
        <is>
          <t>S001-쪽파</t>
        </is>
      </c>
      <c r="B156" t="inlineStr">
        <is>
          <t>부산 금정구 농장</t>
        </is>
      </c>
      <c r="C156" t="inlineStr">
        <is>
          <t>쪽파</t>
        </is>
      </c>
      <c r="D156" t="inlineStr">
        <is>
          <t>1. 공간</t>
        </is>
      </c>
      <c r="E156" t="inlineStr">
        <is>
          <t>공간 체적</t>
        </is>
      </c>
      <c r="F156" s="10" t="n">
        <v>410</v>
      </c>
      <c r="G156" t="inlineStr">
        <is>
          <t>m³</t>
        </is>
      </c>
    </row>
    <row r="157">
      <c r="A157" t="inlineStr">
        <is>
          <t>S001-쪽파</t>
        </is>
      </c>
      <c r="B157" t="inlineStr">
        <is>
          <t>부산 금정구 농장</t>
        </is>
      </c>
      <c r="C157" t="inlineStr">
        <is>
          <t>쪽파</t>
        </is>
      </c>
      <c r="D157" t="inlineStr">
        <is>
          <t>2. 생산</t>
        </is>
      </c>
      <c r="E157" t="inlineStr">
        <is>
          <t>월 총생산량</t>
        </is>
      </c>
      <c r="F157" s="10" t="n">
        <v>639.6</v>
      </c>
      <c r="G157" t="inlineStr">
        <is>
          <t>kg</t>
        </is>
      </c>
    </row>
    <row r="158">
      <c r="A158" t="inlineStr">
        <is>
          <t>S001-쪽파</t>
        </is>
      </c>
      <c r="B158" t="inlineStr">
        <is>
          <t>부산 금정구 농장</t>
        </is>
      </c>
      <c r="C158" t="inlineStr">
        <is>
          <t>쪽파</t>
        </is>
      </c>
      <c r="D158" t="inlineStr">
        <is>
          <t>2. 생산</t>
        </is>
      </c>
      <c r="E158" t="inlineStr">
        <is>
          <t>월 판매량</t>
        </is>
      </c>
      <c r="F158" s="10" t="n">
        <v>575.64</v>
      </c>
      <c r="G158" t="inlineStr">
        <is>
          <t>kg</t>
        </is>
      </c>
    </row>
    <row r="159">
      <c r="A159" t="inlineStr">
        <is>
          <t>S001-쪽파</t>
        </is>
      </c>
      <c r="B159" t="inlineStr">
        <is>
          <t>부산 금정구 농장</t>
        </is>
      </c>
      <c r="C159" t="inlineStr">
        <is>
          <t>쪽파</t>
        </is>
      </c>
      <c r="D159" t="inlineStr">
        <is>
          <t>3. 매출</t>
        </is>
      </c>
      <c r="E159" t="inlineStr">
        <is>
          <t>판매가격</t>
        </is>
      </c>
      <c r="F159" s="8" t="n">
        <v>10000</v>
      </c>
      <c r="G159" t="inlineStr">
        <is>
          <t>원/kg</t>
        </is>
      </c>
    </row>
    <row r="160">
      <c r="A160" t="inlineStr">
        <is>
          <t>S001-쪽파</t>
        </is>
      </c>
      <c r="B160" t="inlineStr">
        <is>
          <t>부산 금정구 농장</t>
        </is>
      </c>
      <c r="C160" t="inlineStr">
        <is>
          <t>쪽파</t>
        </is>
      </c>
      <c r="D160" t="inlineStr">
        <is>
          <t>3. 매출</t>
        </is>
      </c>
      <c r="E160" t="inlineStr">
        <is>
          <t>월 매출</t>
        </is>
      </c>
      <c r="F160" s="8" t="n">
        <v>5756400</v>
      </c>
      <c r="G160" t="inlineStr">
        <is>
          <t>원</t>
        </is>
      </c>
    </row>
    <row r="161">
      <c r="A161" t="inlineStr">
        <is>
          <t>S001-쪽파</t>
        </is>
      </c>
      <c r="B161" t="inlineStr">
        <is>
          <t>부산 금정구 농장</t>
        </is>
      </c>
      <c r="C161" t="inlineStr">
        <is>
          <t>쪽파</t>
        </is>
      </c>
      <c r="D161" t="inlineStr">
        <is>
          <t>4. 조명·냉난방</t>
        </is>
      </c>
      <c r="E161" t="inlineStr">
        <is>
          <t>필요 조명전력</t>
        </is>
      </c>
      <c r="F161" s="10" t="n">
        <v>22842.85714285714</v>
      </c>
      <c r="G161" t="inlineStr">
        <is>
          <t>W</t>
        </is>
      </c>
    </row>
    <row r="162">
      <c r="A162" t="inlineStr">
        <is>
          <t>S001-쪽파</t>
        </is>
      </c>
      <c r="B162" t="inlineStr">
        <is>
          <t>부산 금정구 농장</t>
        </is>
      </c>
      <c r="C162" t="inlineStr">
        <is>
          <t>쪽파</t>
        </is>
      </c>
      <c r="D162" t="inlineStr">
        <is>
          <t>4. 조명·냉난방</t>
        </is>
      </c>
      <c r="E162" t="inlineStr">
        <is>
          <t>월 조명전력량</t>
        </is>
      </c>
      <c r="F162" s="10" t="n">
        <v>11116.85714285714</v>
      </c>
      <c r="G162" t="inlineStr">
        <is>
          <t>kWh</t>
        </is>
      </c>
    </row>
    <row r="163">
      <c r="A163" t="inlineStr">
        <is>
          <t>S001-쪽파</t>
        </is>
      </c>
      <c r="B163" t="inlineStr">
        <is>
          <t>부산 금정구 농장</t>
        </is>
      </c>
      <c r="C163" t="inlineStr">
        <is>
          <t>쪽파</t>
        </is>
      </c>
      <c r="D163" t="inlineStr">
        <is>
          <t>5. 습도</t>
        </is>
      </c>
      <c r="E163" t="inlineStr">
        <is>
          <t>월 증발산량</t>
        </is>
      </c>
      <c r="F163" s="10" t="n">
        <v>29181.75</v>
      </c>
      <c r="G163" t="inlineStr">
        <is>
          <t>kg</t>
        </is>
      </c>
    </row>
    <row r="164">
      <c r="A164" t="inlineStr">
        <is>
          <t>S001-쪽파</t>
        </is>
      </c>
      <c r="B164" t="inlineStr">
        <is>
          <t>부산 금정구 농장</t>
        </is>
      </c>
      <c r="C164" t="inlineStr">
        <is>
          <t>쪽파</t>
        </is>
      </c>
      <c r="D164" t="inlineStr">
        <is>
          <t>6. 전기비</t>
        </is>
      </c>
      <c r="E164" t="inlineStr">
        <is>
          <t>월평균 총 전력량</t>
        </is>
      </c>
      <c r="F164" s="10" t="n">
        <v>26622.10564610252</v>
      </c>
      <c r="G164" t="inlineStr">
        <is>
          <t>kWh</t>
        </is>
      </c>
    </row>
    <row r="165">
      <c r="A165" t="inlineStr">
        <is>
          <t>S001-쪽파</t>
        </is>
      </c>
      <c r="B165" t="inlineStr">
        <is>
          <t>부산 금정구 농장</t>
        </is>
      </c>
      <c r="C165" t="inlineStr">
        <is>
          <t>쪽파</t>
        </is>
      </c>
      <c r="D165" t="inlineStr">
        <is>
          <t>6. 전기비</t>
        </is>
      </c>
      <c r="E165" t="inlineStr">
        <is>
          <t>월 전기비</t>
        </is>
      </c>
      <c r="F165" s="8" t="n">
        <v>4126426.37514589</v>
      </c>
      <c r="G165" t="inlineStr">
        <is>
          <t>원</t>
        </is>
      </c>
    </row>
    <row r="166">
      <c r="A166" t="inlineStr">
        <is>
          <t>S001-쪽파</t>
        </is>
      </c>
      <c r="B166" t="inlineStr">
        <is>
          <t>부산 금정구 농장</t>
        </is>
      </c>
      <c r="C166" t="inlineStr">
        <is>
          <t>쪽파</t>
        </is>
      </c>
      <c r="D166" t="inlineStr">
        <is>
          <t>7. 수도비</t>
        </is>
      </c>
      <c r="E166" t="inlineStr">
        <is>
          <t>배액률</t>
        </is>
      </c>
      <c r="F166" s="11" t="n">
        <v>0.3</v>
      </c>
      <c r="G166" t="inlineStr">
        <is>
          <t>%</t>
        </is>
      </c>
    </row>
    <row r="167">
      <c r="A167" t="inlineStr">
        <is>
          <t>S001-쪽파</t>
        </is>
      </c>
      <c r="B167" t="inlineStr">
        <is>
          <t>부산 금정구 농장</t>
        </is>
      </c>
      <c r="C167" t="inlineStr">
        <is>
          <t>쪽파</t>
        </is>
      </c>
      <c r="D167" t="inlineStr">
        <is>
          <t>7. 수도비</t>
        </is>
      </c>
      <c r="E167" t="inlineStr">
        <is>
          <t>월 작물 순소비량</t>
        </is>
      </c>
      <c r="F167" s="10" t="n">
        <v>29.18175</v>
      </c>
      <c r="G167" t="inlineStr">
        <is>
          <t>m³</t>
        </is>
      </c>
    </row>
    <row r="168">
      <c r="A168" t="inlineStr">
        <is>
          <t>S001-쪽파</t>
        </is>
      </c>
      <c r="B168" t="inlineStr">
        <is>
          <t>부산 금정구 농장</t>
        </is>
      </c>
      <c r="C168" t="inlineStr">
        <is>
          <t>쪽파</t>
        </is>
      </c>
      <c r="D168" t="inlineStr">
        <is>
          <t>7. 수도비</t>
        </is>
      </c>
      <c r="E168" t="inlineStr">
        <is>
          <t>월 배액량</t>
        </is>
      </c>
      <c r="F168" s="10" t="n">
        <v>12.50646428571429</v>
      </c>
      <c r="G168" t="inlineStr">
        <is>
          <t>m³</t>
        </is>
      </c>
    </row>
    <row r="169">
      <c r="A169" t="inlineStr">
        <is>
          <t>S001-쪽파</t>
        </is>
      </c>
      <c r="B169" t="inlineStr">
        <is>
          <t>부산 금정구 농장</t>
        </is>
      </c>
      <c r="C169" t="inlineStr">
        <is>
          <t>쪽파</t>
        </is>
      </c>
      <c r="D169" t="inlineStr">
        <is>
          <t>7. 수도비</t>
        </is>
      </c>
      <c r="E169" t="inlineStr">
        <is>
          <t>월 작물 관수량</t>
        </is>
      </c>
      <c r="F169" s="10" t="n">
        <v>41.6882142857143</v>
      </c>
      <c r="G169" t="inlineStr">
        <is>
          <t>m³</t>
        </is>
      </c>
    </row>
    <row r="170">
      <c r="A170" t="inlineStr">
        <is>
          <t>S001-쪽파</t>
        </is>
      </c>
      <c r="B170" t="inlineStr">
        <is>
          <t>부산 금정구 농장</t>
        </is>
      </c>
      <c r="C170" t="inlineStr">
        <is>
          <t>쪽파</t>
        </is>
      </c>
      <c r="D170" t="inlineStr">
        <is>
          <t>7. 수도비</t>
        </is>
      </c>
      <c r="E170" t="inlineStr">
        <is>
          <t>월 기타 용수량</t>
        </is>
      </c>
      <c r="F170" s="10" t="n">
        <v>0.9976666666666668</v>
      </c>
      <c r="G170" t="inlineStr">
        <is>
          <t>m³</t>
        </is>
      </c>
    </row>
    <row r="171">
      <c r="A171" t="inlineStr">
        <is>
          <t>S001-쪽파</t>
        </is>
      </c>
      <c r="B171" t="inlineStr">
        <is>
          <t>부산 금정구 농장</t>
        </is>
      </c>
      <c r="C171" t="inlineStr">
        <is>
          <t>쪽파</t>
        </is>
      </c>
      <c r="D171" t="inlineStr">
        <is>
          <t>7. 수도비</t>
        </is>
      </c>
      <c r="E171" t="inlineStr">
        <is>
          <t>월 총 용수량</t>
        </is>
      </c>
      <c r="F171" s="10" t="n">
        <v>42.68588095238096</v>
      </c>
      <c r="G171" t="inlineStr">
        <is>
          <t>m³</t>
        </is>
      </c>
    </row>
    <row r="172">
      <c r="A172" t="inlineStr">
        <is>
          <t>S001-쪽파</t>
        </is>
      </c>
      <c r="B172" t="inlineStr">
        <is>
          <t>부산 금정구 농장</t>
        </is>
      </c>
      <c r="C172" t="inlineStr">
        <is>
          <t>쪽파</t>
        </is>
      </c>
      <c r="D172" t="inlineStr">
        <is>
          <t>7. 수도비</t>
        </is>
      </c>
      <c r="E172" t="inlineStr">
        <is>
          <t>월 수도비</t>
        </is>
      </c>
      <c r="F172" s="8" t="n">
        <v>98177.52619047622</v>
      </c>
      <c r="G172" t="inlineStr">
        <is>
          <t>원</t>
        </is>
      </c>
    </row>
    <row r="173">
      <c r="A173" t="inlineStr">
        <is>
          <t>S001-쪽파</t>
        </is>
      </c>
      <c r="B173" t="inlineStr">
        <is>
          <t>부산 금정구 농장</t>
        </is>
      </c>
      <c r="C173" t="inlineStr">
        <is>
          <t>쪽파</t>
        </is>
      </c>
      <c r="D173" t="inlineStr">
        <is>
          <t>8. 재료비</t>
        </is>
      </c>
      <c r="E173" t="inlineStr">
        <is>
          <t>면적당 월 환산 모종비</t>
        </is>
      </c>
      <c r="F173" s="8" t="n">
        <v>700</v>
      </c>
      <c r="G173" t="inlineStr">
        <is>
          <t>원/m²/month</t>
        </is>
      </c>
    </row>
    <row r="174">
      <c r="A174" t="inlineStr">
        <is>
          <t>S001-쪽파</t>
        </is>
      </c>
      <c r="B174" t="inlineStr">
        <is>
          <t>부산 금정구 농장</t>
        </is>
      </c>
      <c r="C174" t="inlineStr">
        <is>
          <t>쪽파</t>
        </is>
      </c>
      <c r="D174" t="inlineStr">
        <is>
          <t>8. 재료비</t>
        </is>
      </c>
      <c r="E174" t="inlineStr">
        <is>
          <t>월 모종비</t>
        </is>
      </c>
      <c r="F174" s="8" t="n">
        <v>223860</v>
      </c>
      <c r="G174" t="inlineStr">
        <is>
          <t>원</t>
        </is>
      </c>
    </row>
    <row r="175">
      <c r="A175" t="inlineStr">
        <is>
          <t>S001-쪽파</t>
        </is>
      </c>
      <c r="B175" t="inlineStr">
        <is>
          <t>부산 금정구 농장</t>
        </is>
      </c>
      <c r="C175" t="inlineStr">
        <is>
          <t>쪽파</t>
        </is>
      </c>
      <c r="D175" t="inlineStr">
        <is>
          <t>8. 재료비</t>
        </is>
      </c>
      <c r="E175" t="inlineStr">
        <is>
          <t>월 양액 사용량</t>
        </is>
      </c>
      <c r="F175" s="10" t="n">
        <v>41.6882142857143</v>
      </c>
      <c r="G175" t="inlineStr">
        <is>
          <t>m³</t>
        </is>
      </c>
    </row>
    <row r="176">
      <c r="A176" t="inlineStr">
        <is>
          <t>S001-쪽파</t>
        </is>
      </c>
      <c r="B176" t="inlineStr">
        <is>
          <t>부산 금정구 농장</t>
        </is>
      </c>
      <c r="C176" t="inlineStr">
        <is>
          <t>쪽파</t>
        </is>
      </c>
      <c r="D176" t="inlineStr">
        <is>
          <t>8. 재료비</t>
        </is>
      </c>
      <c r="E176" t="inlineStr">
        <is>
          <t>월 양액비</t>
        </is>
      </c>
      <c r="F176" s="8" t="n">
        <v>833764.2857142859</v>
      </c>
      <c r="G176" t="inlineStr">
        <is>
          <t>원</t>
        </is>
      </c>
    </row>
    <row r="177">
      <c r="A177" t="inlineStr">
        <is>
          <t>S001-쪽파</t>
        </is>
      </c>
      <c r="B177" t="inlineStr">
        <is>
          <t>부산 금정구 농장</t>
        </is>
      </c>
      <c r="C177" t="inlineStr">
        <is>
          <t>쪽파</t>
        </is>
      </c>
      <c r="D177" t="inlineStr">
        <is>
          <t>8. 재료비</t>
        </is>
      </c>
      <c r="E177" t="inlineStr">
        <is>
          <t>월 재료비</t>
        </is>
      </c>
      <c r="F177" s="8" t="n">
        <v>1057624.285714286</v>
      </c>
      <c r="G177" t="inlineStr">
        <is>
          <t>원</t>
        </is>
      </c>
    </row>
    <row r="178">
      <c r="A178" t="inlineStr">
        <is>
          <t>S001-쪽파</t>
        </is>
      </c>
      <c r="B178" t="inlineStr">
        <is>
          <t>부산 금정구 농장</t>
        </is>
      </c>
      <c r="C178" t="inlineStr">
        <is>
          <t>쪽파</t>
        </is>
      </c>
      <c r="D178" t="inlineStr">
        <is>
          <t>9. 인건비</t>
        </is>
      </c>
      <c r="E178" t="inlineStr">
        <is>
          <t>월 노동시간</t>
        </is>
      </c>
      <c r="F178" s="10" t="n">
        <v>319.8</v>
      </c>
      <c r="G178" t="inlineStr">
        <is>
          <t>시간</t>
        </is>
      </c>
    </row>
    <row r="179">
      <c r="A179" t="inlineStr">
        <is>
          <t>S001-쪽파</t>
        </is>
      </c>
      <c r="B179" t="inlineStr">
        <is>
          <t>부산 금정구 농장</t>
        </is>
      </c>
      <c r="C179" t="inlineStr">
        <is>
          <t>쪽파</t>
        </is>
      </c>
      <c r="D179" t="inlineStr">
        <is>
          <t>9. 인건비</t>
        </is>
      </c>
      <c r="E179" t="inlineStr">
        <is>
          <t>월 인건비</t>
        </is>
      </c>
      <c r="F179" s="8" t="n">
        <v>3300336</v>
      </c>
      <c r="G179" t="inlineStr">
        <is>
          <t>원</t>
        </is>
      </c>
    </row>
    <row r="180">
      <c r="A180" t="inlineStr">
        <is>
          <t>S001-쪽파</t>
        </is>
      </c>
      <c r="B180" t="inlineStr">
        <is>
          <t>부산 금정구 농장</t>
        </is>
      </c>
      <c r="C180" t="inlineStr">
        <is>
          <t>쪽파</t>
        </is>
      </c>
      <c r="D180" t="inlineStr">
        <is>
          <t>10. 수익</t>
        </is>
      </c>
      <c r="E180" t="inlineStr">
        <is>
          <t>기기 대여비 적용면적</t>
        </is>
      </c>
      <c r="F180" s="10" t="n">
        <v>106.6</v>
      </c>
      <c r="G180" t="inlineStr">
        <is>
          <t>m²</t>
        </is>
      </c>
    </row>
    <row r="181">
      <c r="A181" t="inlineStr">
        <is>
          <t>S001-쪽파</t>
        </is>
      </c>
      <c r="B181" t="inlineStr">
        <is>
          <t>부산 금정구 농장</t>
        </is>
      </c>
      <c r="C181" t="inlineStr">
        <is>
          <t>쪽파</t>
        </is>
      </c>
      <c r="D181" t="inlineStr">
        <is>
          <t>10. 수익</t>
        </is>
      </c>
      <c r="E181" t="inlineStr">
        <is>
          <t>면적당 월 기기 대여비</t>
        </is>
      </c>
      <c r="F181" s="8" t="n">
        <v>22000</v>
      </c>
      <c r="G181" t="inlineStr">
        <is>
          <t>원/m²/month</t>
        </is>
      </c>
    </row>
    <row r="182">
      <c r="A182" t="inlineStr">
        <is>
          <t>S001-쪽파</t>
        </is>
      </c>
      <c r="B182" t="inlineStr">
        <is>
          <t>부산 금정구 농장</t>
        </is>
      </c>
      <c r="C182" t="inlineStr">
        <is>
          <t>쪽파</t>
        </is>
      </c>
      <c r="D182" t="inlineStr">
        <is>
          <t>10. 수익</t>
        </is>
      </c>
      <c r="E182" t="inlineStr">
        <is>
          <t>월 기기 대여비</t>
        </is>
      </c>
      <c r="F182" s="8" t="n">
        <v>2345200</v>
      </c>
      <c r="G182" t="inlineStr">
        <is>
          <t>원</t>
        </is>
      </c>
    </row>
    <row r="183">
      <c r="A183" t="inlineStr">
        <is>
          <t>S001-쪽파</t>
        </is>
      </c>
      <c r="B183" t="inlineStr">
        <is>
          <t>부산 금정구 농장</t>
        </is>
      </c>
      <c r="C183" t="inlineStr">
        <is>
          <t>쪽파</t>
        </is>
      </c>
      <c r="D183" t="inlineStr">
        <is>
          <t>10. 수익</t>
        </is>
      </c>
      <c r="E183" t="inlineStr">
        <is>
          <t>월 운영비</t>
        </is>
      </c>
      <c r="F183" s="8" t="n">
        <v>11227764.18705065</v>
      </c>
      <c r="G183" t="inlineStr">
        <is>
          <t>원</t>
        </is>
      </c>
    </row>
    <row r="184">
      <c r="A184" t="inlineStr">
        <is>
          <t>S001-쪽파</t>
        </is>
      </c>
      <c r="B184" t="inlineStr">
        <is>
          <t>부산 금정구 농장</t>
        </is>
      </c>
      <c r="C184" t="inlineStr">
        <is>
          <t>쪽파</t>
        </is>
      </c>
      <c r="D184" t="inlineStr">
        <is>
          <t>10. 수익</t>
        </is>
      </c>
      <c r="E184" t="inlineStr">
        <is>
          <t>월 영업이익</t>
        </is>
      </c>
      <c r="F184" s="8" t="n">
        <v>-5471364.187050652</v>
      </c>
      <c r="G184" t="inlineStr">
        <is>
          <t>원</t>
        </is>
      </c>
    </row>
    <row r="185">
      <c r="A185" t="inlineStr">
        <is>
          <t>S001-쪽파</t>
        </is>
      </c>
      <c r="B185" t="inlineStr">
        <is>
          <t>부산 금정구 농장</t>
        </is>
      </c>
      <c r="C185" t="inlineStr">
        <is>
          <t>쪽파</t>
        </is>
      </c>
      <c r="D185" t="inlineStr">
        <is>
          <t>10. 수익</t>
        </is>
      </c>
      <c r="E185" t="inlineStr">
        <is>
          <t>공간 대여자 예상수익</t>
        </is>
      </c>
      <c r="F185" s="8" t="n">
        <v>-4377091.349640521</v>
      </c>
      <c r="G185" t="inlineStr">
        <is>
          <t>원</t>
        </is>
      </c>
    </row>
    <row r="186">
      <c r="A186" t="inlineStr">
        <is>
          <t>S001-쪽파</t>
        </is>
      </c>
      <c r="B186" t="inlineStr">
        <is>
          <t>부산 금정구 농장</t>
        </is>
      </c>
      <c r="C186" t="inlineStr">
        <is>
          <t>쪽파</t>
        </is>
      </c>
      <c r="D186" t="inlineStr">
        <is>
          <t>10. 수익</t>
        </is>
      </c>
      <c r="E186" t="inlineStr">
        <is>
          <t>원하는 월세</t>
        </is>
      </c>
      <c r="F186" s="8" t="n">
        <v>1200000</v>
      </c>
      <c r="G186" t="inlineStr">
        <is>
          <t>원</t>
        </is>
      </c>
    </row>
    <row r="187">
      <c r="A187" t="inlineStr">
        <is>
          <t>S001-쪽파</t>
        </is>
      </c>
      <c r="B187" t="inlineStr">
        <is>
          <t>부산 금정구 농장</t>
        </is>
      </c>
      <c r="C187" t="inlineStr">
        <is>
          <t>쪽파</t>
        </is>
      </c>
      <c r="D187" t="inlineStr">
        <is>
          <t>10. 수익</t>
        </is>
      </c>
      <c r="E187" t="inlineStr">
        <is>
          <t>공실 월세 대비 차이</t>
        </is>
      </c>
      <c r="F187" s="8" t="n">
        <v>-5577091.349640521</v>
      </c>
      <c r="G187" t="inlineStr">
        <is>
          <t>원</t>
        </is>
      </c>
    </row>
    <row r="188">
      <c r="A188" t="inlineStr">
        <is>
          <t>S001-쪽파</t>
        </is>
      </c>
      <c r="B188" t="inlineStr">
        <is>
          <t>부산 금정구 농장</t>
        </is>
      </c>
      <c r="C188" t="inlineStr">
        <is>
          <t>쪽파</t>
        </is>
      </c>
      <c r="D188" t="inlineStr">
        <is>
          <t>10. 수익</t>
        </is>
      </c>
      <c r="E188" t="inlineStr">
        <is>
          <t>사업장 영업이익</t>
        </is>
      </c>
      <c r="F188" s="8" t="n">
        <v>-1094272.837410131</v>
      </c>
      <c r="G188" t="inlineStr">
        <is>
          <t>원</t>
        </is>
      </c>
    </row>
    <row r="189">
      <c r="A189" t="inlineStr">
        <is>
          <t>S001-병풀</t>
        </is>
      </c>
      <c r="B189" t="inlineStr">
        <is>
          <t>부산 금정구 농장</t>
        </is>
      </c>
      <c r="C189" t="inlineStr">
        <is>
          <t>병풀</t>
        </is>
      </c>
      <c r="D189" t="inlineStr">
        <is>
          <t>1. 공간</t>
        </is>
      </c>
      <c r="E189" t="inlineStr">
        <is>
          <t>공실 전체면적</t>
        </is>
      </c>
      <c r="F189" s="10" t="n">
        <v>164</v>
      </c>
      <c r="G189" t="inlineStr">
        <is>
          <t>m²</t>
        </is>
      </c>
    </row>
    <row r="190">
      <c r="A190" t="inlineStr">
        <is>
          <t>S001-병풀</t>
        </is>
      </c>
      <c r="B190" t="inlineStr">
        <is>
          <t>부산 금정구 농장</t>
        </is>
      </c>
      <c r="C190" t="inlineStr">
        <is>
          <t>병풀</t>
        </is>
      </c>
      <c r="D190" t="inlineStr">
        <is>
          <t>1. 공간</t>
        </is>
      </c>
      <c r="E190" t="inlineStr">
        <is>
          <t>사용가능 바닥면적</t>
        </is>
      </c>
      <c r="F190" s="10" t="n">
        <v>106.6</v>
      </c>
      <c r="G190" t="inlineStr">
        <is>
          <t>m²</t>
        </is>
      </c>
    </row>
    <row r="191">
      <c r="A191" t="inlineStr">
        <is>
          <t>S001-병풀</t>
        </is>
      </c>
      <c r="B191" t="inlineStr">
        <is>
          <t>부산 금정구 농장</t>
        </is>
      </c>
      <c r="C191" t="inlineStr">
        <is>
          <t>병풀</t>
        </is>
      </c>
      <c r="D191" t="inlineStr">
        <is>
          <t>1. 공간</t>
        </is>
      </c>
      <c r="E191" t="inlineStr">
        <is>
          <t>작물별 모듈 층 수</t>
        </is>
      </c>
      <c r="F191" s="8" t="n">
        <v>3</v>
      </c>
      <c r="G191" t="inlineStr">
        <is>
          <t>층</t>
        </is>
      </c>
    </row>
    <row r="192">
      <c r="A192" t="inlineStr">
        <is>
          <t>S001-병풀</t>
        </is>
      </c>
      <c r="B192" t="inlineStr">
        <is>
          <t>부산 금정구 농장</t>
        </is>
      </c>
      <c r="C192" t="inlineStr">
        <is>
          <t>병풀</t>
        </is>
      </c>
      <c r="D192" t="inlineStr">
        <is>
          <t>1. 공간</t>
        </is>
      </c>
      <c r="E192" t="inlineStr">
        <is>
          <t>재배면적</t>
        </is>
      </c>
      <c r="F192" s="10" t="n">
        <v>319.8</v>
      </c>
      <c r="G192" t="inlineStr">
        <is>
          <t>m²</t>
        </is>
      </c>
    </row>
    <row r="193">
      <c r="A193" t="inlineStr">
        <is>
          <t>S001-병풀</t>
        </is>
      </c>
      <c r="B193" t="inlineStr">
        <is>
          <t>부산 금정구 농장</t>
        </is>
      </c>
      <c r="C193" t="inlineStr">
        <is>
          <t>병풀</t>
        </is>
      </c>
      <c r="D193" t="inlineStr">
        <is>
          <t>1. 공간</t>
        </is>
      </c>
      <c r="E193" t="inlineStr">
        <is>
          <t>공간 체적</t>
        </is>
      </c>
      <c r="F193" s="10" t="n">
        <v>410</v>
      </c>
      <c r="G193" t="inlineStr">
        <is>
          <t>m³</t>
        </is>
      </c>
    </row>
    <row r="194">
      <c r="A194" t="inlineStr">
        <is>
          <t>S001-병풀</t>
        </is>
      </c>
      <c r="B194" t="inlineStr">
        <is>
          <t>부산 금정구 농장</t>
        </is>
      </c>
      <c r="C194" t="inlineStr">
        <is>
          <t>병풀</t>
        </is>
      </c>
      <c r="D194" t="inlineStr">
        <is>
          <t>2. 생산</t>
        </is>
      </c>
      <c r="E194" t="inlineStr">
        <is>
          <t>월 총생산량</t>
        </is>
      </c>
      <c r="F194" s="10" t="n">
        <v>639.6</v>
      </c>
      <c r="G194" t="inlineStr">
        <is>
          <t>kg</t>
        </is>
      </c>
    </row>
    <row r="195">
      <c r="A195" t="inlineStr">
        <is>
          <t>S001-병풀</t>
        </is>
      </c>
      <c r="B195" t="inlineStr">
        <is>
          <t>부산 금정구 농장</t>
        </is>
      </c>
      <c r="C195" t="inlineStr">
        <is>
          <t>병풀</t>
        </is>
      </c>
      <c r="D195" t="inlineStr">
        <is>
          <t>2. 생산</t>
        </is>
      </c>
      <c r="E195" t="inlineStr">
        <is>
          <t>월 판매량</t>
        </is>
      </c>
      <c r="F195" s="10" t="n">
        <v>575.64</v>
      </c>
      <c r="G195" t="inlineStr">
        <is>
          <t>kg</t>
        </is>
      </c>
    </row>
    <row r="196">
      <c r="A196" t="inlineStr">
        <is>
          <t>S001-병풀</t>
        </is>
      </c>
      <c r="B196" t="inlineStr">
        <is>
          <t>부산 금정구 농장</t>
        </is>
      </c>
      <c r="C196" t="inlineStr">
        <is>
          <t>병풀</t>
        </is>
      </c>
      <c r="D196" t="inlineStr">
        <is>
          <t>3. 매출</t>
        </is>
      </c>
      <c r="E196" t="inlineStr">
        <is>
          <t>판매가격</t>
        </is>
      </c>
      <c r="F196" s="8" t="n">
        <v>20000</v>
      </c>
      <c r="G196" t="inlineStr">
        <is>
          <t>원/kg</t>
        </is>
      </c>
    </row>
    <row r="197">
      <c r="A197" t="inlineStr">
        <is>
          <t>S001-병풀</t>
        </is>
      </c>
      <c r="B197" t="inlineStr">
        <is>
          <t>부산 금정구 농장</t>
        </is>
      </c>
      <c r="C197" t="inlineStr">
        <is>
          <t>병풀</t>
        </is>
      </c>
      <c r="D197" t="inlineStr">
        <is>
          <t>3. 매출</t>
        </is>
      </c>
      <c r="E197" t="inlineStr">
        <is>
          <t>월 매출</t>
        </is>
      </c>
      <c r="F197" s="8" t="n">
        <v>11512800</v>
      </c>
      <c r="G197" t="inlineStr">
        <is>
          <t>원</t>
        </is>
      </c>
    </row>
    <row r="198">
      <c r="A198" t="inlineStr">
        <is>
          <t>S001-병풀</t>
        </is>
      </c>
      <c r="B198" t="inlineStr">
        <is>
          <t>부산 금정구 농장</t>
        </is>
      </c>
      <c r="C198" t="inlineStr">
        <is>
          <t>병풀</t>
        </is>
      </c>
      <c r="D198" t="inlineStr">
        <is>
          <t>4. 조명·냉난방</t>
        </is>
      </c>
      <c r="E198" t="inlineStr">
        <is>
          <t>필요 조명전력</t>
        </is>
      </c>
      <c r="F198" s="10" t="n">
        <v>22842.85714285714</v>
      </c>
      <c r="G198" t="inlineStr">
        <is>
          <t>W</t>
        </is>
      </c>
    </row>
    <row r="199">
      <c r="A199" t="inlineStr">
        <is>
          <t>S001-병풀</t>
        </is>
      </c>
      <c r="B199" t="inlineStr">
        <is>
          <t>부산 금정구 농장</t>
        </is>
      </c>
      <c r="C199" t="inlineStr">
        <is>
          <t>병풀</t>
        </is>
      </c>
      <c r="D199" t="inlineStr">
        <is>
          <t>4. 조명·냉난방</t>
        </is>
      </c>
      <c r="E199" t="inlineStr">
        <is>
          <t>월 조명전력량</t>
        </is>
      </c>
      <c r="F199" s="10" t="n">
        <v>8337.642857142859</v>
      </c>
      <c r="G199" t="inlineStr">
        <is>
          <t>kWh</t>
        </is>
      </c>
    </row>
    <row r="200">
      <c r="A200" t="inlineStr">
        <is>
          <t>S001-병풀</t>
        </is>
      </c>
      <c r="B200" t="inlineStr">
        <is>
          <t>부산 금정구 농장</t>
        </is>
      </c>
      <c r="C200" t="inlineStr">
        <is>
          <t>병풀</t>
        </is>
      </c>
      <c r="D200" t="inlineStr">
        <is>
          <t>5. 습도</t>
        </is>
      </c>
      <c r="E200" t="inlineStr">
        <is>
          <t>월 증발산량</t>
        </is>
      </c>
      <c r="F200" s="10" t="n">
        <v>29181.75</v>
      </c>
      <c r="G200" t="inlineStr">
        <is>
          <t>kg</t>
        </is>
      </c>
    </row>
    <row r="201">
      <c r="A201" t="inlineStr">
        <is>
          <t>S001-병풀</t>
        </is>
      </c>
      <c r="B201" t="inlineStr">
        <is>
          <t>부산 금정구 농장</t>
        </is>
      </c>
      <c r="C201" t="inlineStr">
        <is>
          <t>병풀</t>
        </is>
      </c>
      <c r="D201" t="inlineStr">
        <is>
          <t>6. 전기비</t>
        </is>
      </c>
      <c r="E201" t="inlineStr">
        <is>
          <t>월평균 총 전력량</t>
        </is>
      </c>
      <c r="F201" s="10" t="n">
        <v>23610.91406302647</v>
      </c>
      <c r="G201" t="inlineStr">
        <is>
          <t>kWh</t>
        </is>
      </c>
    </row>
    <row r="202">
      <c r="A202" t="inlineStr">
        <is>
          <t>S001-병풀</t>
        </is>
      </c>
      <c r="B202" t="inlineStr">
        <is>
          <t>부산 금정구 농장</t>
        </is>
      </c>
      <c r="C202" t="inlineStr">
        <is>
          <t>병풀</t>
        </is>
      </c>
      <c r="D202" t="inlineStr">
        <is>
          <t>6. 전기비</t>
        </is>
      </c>
      <c r="E202" t="inlineStr">
        <is>
          <t>월 전기비</t>
        </is>
      </c>
      <c r="F202" s="8" t="n">
        <v>3659691.679769103</v>
      </c>
      <c r="G202" t="inlineStr">
        <is>
          <t>원</t>
        </is>
      </c>
    </row>
    <row r="203">
      <c r="A203" t="inlineStr">
        <is>
          <t>S001-병풀</t>
        </is>
      </c>
      <c r="B203" t="inlineStr">
        <is>
          <t>부산 금정구 농장</t>
        </is>
      </c>
      <c r="C203" t="inlineStr">
        <is>
          <t>병풀</t>
        </is>
      </c>
      <c r="D203" t="inlineStr">
        <is>
          <t>7. 수도비</t>
        </is>
      </c>
      <c r="E203" t="inlineStr">
        <is>
          <t>배액률</t>
        </is>
      </c>
      <c r="F203" s="11" t="n">
        <v>0.3</v>
      </c>
      <c r="G203" t="inlineStr">
        <is>
          <t>%</t>
        </is>
      </c>
    </row>
    <row r="204">
      <c r="A204" t="inlineStr">
        <is>
          <t>S001-병풀</t>
        </is>
      </c>
      <c r="B204" t="inlineStr">
        <is>
          <t>부산 금정구 농장</t>
        </is>
      </c>
      <c r="C204" t="inlineStr">
        <is>
          <t>병풀</t>
        </is>
      </c>
      <c r="D204" t="inlineStr">
        <is>
          <t>7. 수도비</t>
        </is>
      </c>
      <c r="E204" t="inlineStr">
        <is>
          <t>월 작물 순소비량</t>
        </is>
      </c>
      <c r="F204" s="10" t="n">
        <v>29.18175</v>
      </c>
      <c r="G204" t="inlineStr">
        <is>
          <t>m³</t>
        </is>
      </c>
    </row>
    <row r="205">
      <c r="A205" t="inlineStr">
        <is>
          <t>S001-병풀</t>
        </is>
      </c>
      <c r="B205" t="inlineStr">
        <is>
          <t>부산 금정구 농장</t>
        </is>
      </c>
      <c r="C205" t="inlineStr">
        <is>
          <t>병풀</t>
        </is>
      </c>
      <c r="D205" t="inlineStr">
        <is>
          <t>7. 수도비</t>
        </is>
      </c>
      <c r="E205" t="inlineStr">
        <is>
          <t>월 배액량</t>
        </is>
      </c>
      <c r="F205" s="10" t="n">
        <v>12.50646428571429</v>
      </c>
      <c r="G205" t="inlineStr">
        <is>
          <t>m³</t>
        </is>
      </c>
    </row>
    <row r="206">
      <c r="A206" t="inlineStr">
        <is>
          <t>S001-병풀</t>
        </is>
      </c>
      <c r="B206" t="inlineStr">
        <is>
          <t>부산 금정구 농장</t>
        </is>
      </c>
      <c r="C206" t="inlineStr">
        <is>
          <t>병풀</t>
        </is>
      </c>
      <c r="D206" t="inlineStr">
        <is>
          <t>7. 수도비</t>
        </is>
      </c>
      <c r="E206" t="inlineStr">
        <is>
          <t>월 작물 관수량</t>
        </is>
      </c>
      <c r="F206" s="10" t="n">
        <v>41.6882142857143</v>
      </c>
      <c r="G206" t="inlineStr">
        <is>
          <t>m³</t>
        </is>
      </c>
    </row>
    <row r="207">
      <c r="A207" t="inlineStr">
        <is>
          <t>S001-병풀</t>
        </is>
      </c>
      <c r="B207" t="inlineStr">
        <is>
          <t>부산 금정구 농장</t>
        </is>
      </c>
      <c r="C207" t="inlineStr">
        <is>
          <t>병풀</t>
        </is>
      </c>
      <c r="D207" t="inlineStr">
        <is>
          <t>7. 수도비</t>
        </is>
      </c>
      <c r="E207" t="inlineStr">
        <is>
          <t>월 기타 용수량</t>
        </is>
      </c>
      <c r="F207" s="10" t="n">
        <v>0.9976666666666668</v>
      </c>
      <c r="G207" t="inlineStr">
        <is>
          <t>m³</t>
        </is>
      </c>
    </row>
    <row r="208">
      <c r="A208" t="inlineStr">
        <is>
          <t>S001-병풀</t>
        </is>
      </c>
      <c r="B208" t="inlineStr">
        <is>
          <t>부산 금정구 농장</t>
        </is>
      </c>
      <c r="C208" t="inlineStr">
        <is>
          <t>병풀</t>
        </is>
      </c>
      <c r="D208" t="inlineStr">
        <is>
          <t>7. 수도비</t>
        </is>
      </c>
      <c r="E208" t="inlineStr">
        <is>
          <t>월 총 용수량</t>
        </is>
      </c>
      <c r="F208" s="10" t="n">
        <v>42.68588095238096</v>
      </c>
      <c r="G208" t="inlineStr">
        <is>
          <t>m³</t>
        </is>
      </c>
    </row>
    <row r="209">
      <c r="A209" t="inlineStr">
        <is>
          <t>S001-병풀</t>
        </is>
      </c>
      <c r="B209" t="inlineStr">
        <is>
          <t>부산 금정구 농장</t>
        </is>
      </c>
      <c r="C209" t="inlineStr">
        <is>
          <t>병풀</t>
        </is>
      </c>
      <c r="D209" t="inlineStr">
        <is>
          <t>7. 수도비</t>
        </is>
      </c>
      <c r="E209" t="inlineStr">
        <is>
          <t>월 수도비</t>
        </is>
      </c>
      <c r="F209" s="8" t="n">
        <v>98177.52619047622</v>
      </c>
      <c r="G209" t="inlineStr">
        <is>
          <t>원</t>
        </is>
      </c>
    </row>
    <row r="210">
      <c r="A210" t="inlineStr">
        <is>
          <t>S001-병풀</t>
        </is>
      </c>
      <c r="B210" t="inlineStr">
        <is>
          <t>부산 금정구 농장</t>
        </is>
      </c>
      <c r="C210" t="inlineStr">
        <is>
          <t>병풀</t>
        </is>
      </c>
      <c r="D210" t="inlineStr">
        <is>
          <t>8. 재료비</t>
        </is>
      </c>
      <c r="E210" t="inlineStr">
        <is>
          <t>면적당 월 환산 모종비</t>
        </is>
      </c>
      <c r="F210" s="8" t="n">
        <v>1666.67</v>
      </c>
      <c r="G210" t="inlineStr">
        <is>
          <t>원/m²/month</t>
        </is>
      </c>
    </row>
    <row r="211">
      <c r="A211" t="inlineStr">
        <is>
          <t>S001-병풀</t>
        </is>
      </c>
      <c r="B211" t="inlineStr">
        <is>
          <t>부산 금정구 농장</t>
        </is>
      </c>
      <c r="C211" t="inlineStr">
        <is>
          <t>병풀</t>
        </is>
      </c>
      <c r="D211" t="inlineStr">
        <is>
          <t>8. 재료비</t>
        </is>
      </c>
      <c r="E211" t="inlineStr">
        <is>
          <t>월 모종비</t>
        </is>
      </c>
      <c r="F211" s="8" t="n">
        <v>533001.066</v>
      </c>
      <c r="G211" t="inlineStr">
        <is>
          <t>원</t>
        </is>
      </c>
    </row>
    <row r="212">
      <c r="A212" t="inlineStr">
        <is>
          <t>S001-병풀</t>
        </is>
      </c>
      <c r="B212" t="inlineStr">
        <is>
          <t>부산 금정구 농장</t>
        </is>
      </c>
      <c r="C212" t="inlineStr">
        <is>
          <t>병풀</t>
        </is>
      </c>
      <c r="D212" t="inlineStr">
        <is>
          <t>8. 재료비</t>
        </is>
      </c>
      <c r="E212" t="inlineStr">
        <is>
          <t>월 양액 사용량</t>
        </is>
      </c>
      <c r="F212" s="10" t="n">
        <v>41.6882142857143</v>
      </c>
      <c r="G212" t="inlineStr">
        <is>
          <t>m³</t>
        </is>
      </c>
    </row>
    <row r="213">
      <c r="A213" t="inlineStr">
        <is>
          <t>S001-병풀</t>
        </is>
      </c>
      <c r="B213" t="inlineStr">
        <is>
          <t>부산 금정구 농장</t>
        </is>
      </c>
      <c r="C213" t="inlineStr">
        <is>
          <t>병풀</t>
        </is>
      </c>
      <c r="D213" t="inlineStr">
        <is>
          <t>8. 재료비</t>
        </is>
      </c>
      <c r="E213" t="inlineStr">
        <is>
          <t>월 양액비</t>
        </is>
      </c>
      <c r="F213" s="8" t="n">
        <v>833764.2857142859</v>
      </c>
      <c r="G213" t="inlineStr">
        <is>
          <t>원</t>
        </is>
      </c>
    </row>
    <row r="214">
      <c r="A214" t="inlineStr">
        <is>
          <t>S001-병풀</t>
        </is>
      </c>
      <c r="B214" t="inlineStr">
        <is>
          <t>부산 금정구 농장</t>
        </is>
      </c>
      <c r="C214" t="inlineStr">
        <is>
          <t>병풀</t>
        </is>
      </c>
      <c r="D214" t="inlineStr">
        <is>
          <t>8. 재료비</t>
        </is>
      </c>
      <c r="E214" t="inlineStr">
        <is>
          <t>월 재료비</t>
        </is>
      </c>
      <c r="F214" s="8" t="n">
        <v>1366765.351714286</v>
      </c>
      <c r="G214" t="inlineStr">
        <is>
          <t>원</t>
        </is>
      </c>
    </row>
    <row r="215">
      <c r="A215" t="inlineStr">
        <is>
          <t>S001-병풀</t>
        </is>
      </c>
      <c r="B215" t="inlineStr">
        <is>
          <t>부산 금정구 농장</t>
        </is>
      </c>
      <c r="C215" t="inlineStr">
        <is>
          <t>병풀</t>
        </is>
      </c>
      <c r="D215" t="inlineStr">
        <is>
          <t>9. 인건비</t>
        </is>
      </c>
      <c r="E215" t="inlineStr">
        <is>
          <t>월 노동시간</t>
        </is>
      </c>
      <c r="F215" s="10" t="n">
        <v>319.8</v>
      </c>
      <c r="G215" t="inlineStr">
        <is>
          <t>시간</t>
        </is>
      </c>
    </row>
    <row r="216">
      <c r="A216" t="inlineStr">
        <is>
          <t>S001-병풀</t>
        </is>
      </c>
      <c r="B216" t="inlineStr">
        <is>
          <t>부산 금정구 농장</t>
        </is>
      </c>
      <c r="C216" t="inlineStr">
        <is>
          <t>병풀</t>
        </is>
      </c>
      <c r="D216" t="inlineStr">
        <is>
          <t>9. 인건비</t>
        </is>
      </c>
      <c r="E216" t="inlineStr">
        <is>
          <t>월 인건비</t>
        </is>
      </c>
      <c r="F216" s="8" t="n">
        <v>3300336</v>
      </c>
      <c r="G216" t="inlineStr">
        <is>
          <t>원</t>
        </is>
      </c>
    </row>
    <row r="217">
      <c r="A217" t="inlineStr">
        <is>
          <t>S001-병풀</t>
        </is>
      </c>
      <c r="B217" t="inlineStr">
        <is>
          <t>부산 금정구 농장</t>
        </is>
      </c>
      <c r="C217" t="inlineStr">
        <is>
          <t>병풀</t>
        </is>
      </c>
      <c r="D217" t="inlineStr">
        <is>
          <t>10. 수익</t>
        </is>
      </c>
      <c r="E217" t="inlineStr">
        <is>
          <t>기기 대여비 적용면적</t>
        </is>
      </c>
      <c r="F217" s="10" t="n">
        <v>106.6</v>
      </c>
      <c r="G217" t="inlineStr">
        <is>
          <t>m²</t>
        </is>
      </c>
    </row>
    <row r="218">
      <c r="A218" t="inlineStr">
        <is>
          <t>S001-병풀</t>
        </is>
      </c>
      <c r="B218" t="inlineStr">
        <is>
          <t>부산 금정구 농장</t>
        </is>
      </c>
      <c r="C218" t="inlineStr">
        <is>
          <t>병풀</t>
        </is>
      </c>
      <c r="D218" t="inlineStr">
        <is>
          <t>10. 수익</t>
        </is>
      </c>
      <c r="E218" t="inlineStr">
        <is>
          <t>면적당 월 기기 대여비</t>
        </is>
      </c>
      <c r="F218" s="8" t="n">
        <v>22000</v>
      </c>
      <c r="G218" t="inlineStr">
        <is>
          <t>원/m²/month</t>
        </is>
      </c>
    </row>
    <row r="219">
      <c r="A219" t="inlineStr">
        <is>
          <t>S001-병풀</t>
        </is>
      </c>
      <c r="B219" t="inlineStr">
        <is>
          <t>부산 금정구 농장</t>
        </is>
      </c>
      <c r="C219" t="inlineStr">
        <is>
          <t>병풀</t>
        </is>
      </c>
      <c r="D219" t="inlineStr">
        <is>
          <t>10. 수익</t>
        </is>
      </c>
      <c r="E219" t="inlineStr">
        <is>
          <t>월 기기 대여비</t>
        </is>
      </c>
      <c r="F219" s="8" t="n">
        <v>2345200</v>
      </c>
      <c r="G219" t="inlineStr">
        <is>
          <t>원</t>
        </is>
      </c>
    </row>
    <row r="220">
      <c r="A220" t="inlineStr">
        <is>
          <t>S001-병풀</t>
        </is>
      </c>
      <c r="B220" t="inlineStr">
        <is>
          <t>부산 금정구 농장</t>
        </is>
      </c>
      <c r="C220" t="inlineStr">
        <is>
          <t>병풀</t>
        </is>
      </c>
      <c r="D220" t="inlineStr">
        <is>
          <t>10. 수익</t>
        </is>
      </c>
      <c r="E220" t="inlineStr">
        <is>
          <t>월 운영비</t>
        </is>
      </c>
      <c r="F220" s="8" t="n">
        <v>11070170.55767386</v>
      </c>
      <c r="G220" t="inlineStr">
        <is>
          <t>원</t>
        </is>
      </c>
    </row>
    <row r="221">
      <c r="A221" t="inlineStr">
        <is>
          <t>S001-병풀</t>
        </is>
      </c>
      <c r="B221" t="inlineStr">
        <is>
          <t>부산 금정구 농장</t>
        </is>
      </c>
      <c r="C221" t="inlineStr">
        <is>
          <t>병풀</t>
        </is>
      </c>
      <c r="D221" t="inlineStr">
        <is>
          <t>10. 수익</t>
        </is>
      </c>
      <c r="E221" t="inlineStr">
        <is>
          <t>월 영업이익</t>
        </is>
      </c>
      <c r="F221" s="8" t="n">
        <v>442629.4423261359</v>
      </c>
      <c r="G221" t="inlineStr">
        <is>
          <t>원</t>
        </is>
      </c>
    </row>
    <row r="222">
      <c r="A222" t="inlineStr">
        <is>
          <t>S001-병풀</t>
        </is>
      </c>
      <c r="B222" t="inlineStr">
        <is>
          <t>부산 금정구 농장</t>
        </is>
      </c>
      <c r="C222" t="inlineStr">
        <is>
          <t>병풀</t>
        </is>
      </c>
      <c r="D222" t="inlineStr">
        <is>
          <t>10. 수익</t>
        </is>
      </c>
      <c r="E222" t="inlineStr">
        <is>
          <t>공간 대여자 예상수익</t>
        </is>
      </c>
      <c r="F222" s="8" t="n">
        <v>354103.5538609088</v>
      </c>
      <c r="G222" t="inlineStr">
        <is>
          <t>원</t>
        </is>
      </c>
    </row>
    <row r="223">
      <c r="A223" t="inlineStr">
        <is>
          <t>S001-병풀</t>
        </is>
      </c>
      <c r="B223" t="inlineStr">
        <is>
          <t>부산 금정구 농장</t>
        </is>
      </c>
      <c r="C223" t="inlineStr">
        <is>
          <t>병풀</t>
        </is>
      </c>
      <c r="D223" t="inlineStr">
        <is>
          <t>10. 수익</t>
        </is>
      </c>
      <c r="E223" t="inlineStr">
        <is>
          <t>원하는 월세</t>
        </is>
      </c>
      <c r="F223" s="8" t="n">
        <v>1200000</v>
      </c>
      <c r="G223" t="inlineStr">
        <is>
          <t>원</t>
        </is>
      </c>
    </row>
    <row r="224">
      <c r="A224" t="inlineStr">
        <is>
          <t>S001-병풀</t>
        </is>
      </c>
      <c r="B224" t="inlineStr">
        <is>
          <t>부산 금정구 농장</t>
        </is>
      </c>
      <c r="C224" t="inlineStr">
        <is>
          <t>병풀</t>
        </is>
      </c>
      <c r="D224" t="inlineStr">
        <is>
          <t>10. 수익</t>
        </is>
      </c>
      <c r="E224" t="inlineStr">
        <is>
          <t>공실 월세 대비 차이</t>
        </is>
      </c>
      <c r="F224" s="8" t="n">
        <v>-845896.4461390912</v>
      </c>
      <c r="G224" t="inlineStr">
        <is>
          <t>원</t>
        </is>
      </c>
    </row>
    <row r="225">
      <c r="A225" t="inlineStr">
        <is>
          <t>S001-병풀</t>
        </is>
      </c>
      <c r="B225" t="inlineStr">
        <is>
          <t>부산 금정구 농장</t>
        </is>
      </c>
      <c r="C225" t="inlineStr">
        <is>
          <t>병풀</t>
        </is>
      </c>
      <c r="D225" t="inlineStr">
        <is>
          <t>10. 수익</t>
        </is>
      </c>
      <c r="E225" t="inlineStr">
        <is>
          <t>사업장 영업이익</t>
        </is>
      </c>
      <c r="F225" s="8" t="n">
        <v>88525.88846522715</v>
      </c>
      <c r="G225" t="inlineStr">
        <is>
          <t>원</t>
        </is>
      </c>
    </row>
    <row r="226">
      <c r="A226" t="inlineStr">
        <is>
          <t>S002-상추</t>
        </is>
      </c>
      <c r="B226" t="inlineStr">
        <is>
          <t>부산 해운대 농장</t>
        </is>
      </c>
      <c r="C226" t="inlineStr">
        <is>
          <t>상추</t>
        </is>
      </c>
      <c r="D226" t="inlineStr">
        <is>
          <t>1. 공간</t>
        </is>
      </c>
      <c r="E226" t="inlineStr">
        <is>
          <t>공실 전체면적</t>
        </is>
      </c>
      <c r="F226" s="10" t="n">
        <v>66</v>
      </c>
      <c r="G226" t="inlineStr">
        <is>
          <t>m²</t>
        </is>
      </c>
    </row>
    <row r="227">
      <c r="A227" t="inlineStr">
        <is>
          <t>S002-상추</t>
        </is>
      </c>
      <c r="B227" t="inlineStr">
        <is>
          <t>부산 해운대 농장</t>
        </is>
      </c>
      <c r="C227" t="inlineStr">
        <is>
          <t>상추</t>
        </is>
      </c>
      <c r="D227" t="inlineStr">
        <is>
          <t>1. 공간</t>
        </is>
      </c>
      <c r="E227" t="inlineStr">
        <is>
          <t>사용가능 바닥면적</t>
        </is>
      </c>
      <c r="F227" s="10" t="n">
        <v>42.9</v>
      </c>
      <c r="G227" t="inlineStr">
        <is>
          <t>m²</t>
        </is>
      </c>
    </row>
    <row r="228">
      <c r="A228" t="inlineStr">
        <is>
          <t>S002-상추</t>
        </is>
      </c>
      <c r="B228" t="inlineStr">
        <is>
          <t>부산 해운대 농장</t>
        </is>
      </c>
      <c r="C228" t="inlineStr">
        <is>
          <t>상추</t>
        </is>
      </c>
      <c r="D228" t="inlineStr">
        <is>
          <t>1. 공간</t>
        </is>
      </c>
      <c r="E228" t="inlineStr">
        <is>
          <t>작물별 모듈 층 수</t>
        </is>
      </c>
      <c r="F228" s="8" t="n">
        <v>4</v>
      </c>
      <c r="G228" t="inlineStr">
        <is>
          <t>층</t>
        </is>
      </c>
    </row>
    <row r="229">
      <c r="A229" t="inlineStr">
        <is>
          <t>S002-상추</t>
        </is>
      </c>
      <c r="B229" t="inlineStr">
        <is>
          <t>부산 해운대 농장</t>
        </is>
      </c>
      <c r="C229" t="inlineStr">
        <is>
          <t>상추</t>
        </is>
      </c>
      <c r="D229" t="inlineStr">
        <is>
          <t>1. 공간</t>
        </is>
      </c>
      <c r="E229" t="inlineStr">
        <is>
          <t>재배면적</t>
        </is>
      </c>
      <c r="F229" s="10" t="n">
        <v>171.6</v>
      </c>
      <c r="G229" t="inlineStr">
        <is>
          <t>m²</t>
        </is>
      </c>
    </row>
    <row r="230">
      <c r="A230" t="inlineStr">
        <is>
          <t>S002-상추</t>
        </is>
      </c>
      <c r="B230" t="inlineStr">
        <is>
          <t>부산 해운대 농장</t>
        </is>
      </c>
      <c r="C230" t="inlineStr">
        <is>
          <t>상추</t>
        </is>
      </c>
      <c r="D230" t="inlineStr">
        <is>
          <t>1. 공간</t>
        </is>
      </c>
      <c r="E230" t="inlineStr">
        <is>
          <t>공간 체적</t>
        </is>
      </c>
      <c r="F230" s="10" t="n">
        <v>165</v>
      </c>
      <c r="G230" t="inlineStr">
        <is>
          <t>m³</t>
        </is>
      </c>
    </row>
    <row r="231">
      <c r="A231" t="inlineStr">
        <is>
          <t>S002-상추</t>
        </is>
      </c>
      <c r="B231" t="inlineStr">
        <is>
          <t>부산 해운대 농장</t>
        </is>
      </c>
      <c r="C231" t="inlineStr">
        <is>
          <t>상추</t>
        </is>
      </c>
      <c r="D231" t="inlineStr">
        <is>
          <t>2. 생산</t>
        </is>
      </c>
      <c r="E231" t="inlineStr">
        <is>
          <t>월 총생산량</t>
        </is>
      </c>
      <c r="F231" s="10" t="n">
        <v>514.8</v>
      </c>
      <c r="G231" t="inlineStr">
        <is>
          <t>kg</t>
        </is>
      </c>
    </row>
    <row r="232">
      <c r="A232" t="inlineStr">
        <is>
          <t>S002-상추</t>
        </is>
      </c>
      <c r="B232" t="inlineStr">
        <is>
          <t>부산 해운대 농장</t>
        </is>
      </c>
      <c r="C232" t="inlineStr">
        <is>
          <t>상추</t>
        </is>
      </c>
      <c r="D232" t="inlineStr">
        <is>
          <t>2. 생산</t>
        </is>
      </c>
      <c r="E232" t="inlineStr">
        <is>
          <t>월 판매량</t>
        </is>
      </c>
      <c r="F232" s="10" t="n">
        <v>463.32</v>
      </c>
      <c r="G232" t="inlineStr">
        <is>
          <t>kg</t>
        </is>
      </c>
    </row>
    <row r="233">
      <c r="A233" t="inlineStr">
        <is>
          <t>S002-상추</t>
        </is>
      </c>
      <c r="B233" t="inlineStr">
        <is>
          <t>부산 해운대 농장</t>
        </is>
      </c>
      <c r="C233" t="inlineStr">
        <is>
          <t>상추</t>
        </is>
      </c>
      <c r="D233" t="inlineStr">
        <is>
          <t>3. 매출</t>
        </is>
      </c>
      <c r="E233" t="inlineStr">
        <is>
          <t>판매가격</t>
        </is>
      </c>
      <c r="F233" s="8" t="n">
        <v>8000</v>
      </c>
      <c r="G233" t="inlineStr">
        <is>
          <t>원/kg</t>
        </is>
      </c>
    </row>
    <row r="234">
      <c r="A234" t="inlineStr">
        <is>
          <t>S002-상추</t>
        </is>
      </c>
      <c r="B234" t="inlineStr">
        <is>
          <t>부산 해운대 농장</t>
        </is>
      </c>
      <c r="C234" t="inlineStr">
        <is>
          <t>상추</t>
        </is>
      </c>
      <c r="D234" t="inlineStr">
        <is>
          <t>3. 매출</t>
        </is>
      </c>
      <c r="E234" t="inlineStr">
        <is>
          <t>월 매출</t>
        </is>
      </c>
      <c r="F234" s="8" t="n">
        <v>3706560</v>
      </c>
      <c r="G234" t="inlineStr">
        <is>
          <t>원</t>
        </is>
      </c>
    </row>
    <row r="235">
      <c r="A235" t="inlineStr">
        <is>
          <t>S002-상추</t>
        </is>
      </c>
      <c r="B235" t="inlineStr">
        <is>
          <t>부산 해운대 농장</t>
        </is>
      </c>
      <c r="C235" t="inlineStr">
        <is>
          <t>상추</t>
        </is>
      </c>
      <c r="D235" t="inlineStr">
        <is>
          <t>4. 조명·냉난방</t>
        </is>
      </c>
      <c r="E235" t="inlineStr">
        <is>
          <t>필요 조명전력</t>
        </is>
      </c>
      <c r="F235" s="10" t="n">
        <v>12257.14285714286</v>
      </c>
      <c r="G235" t="inlineStr">
        <is>
          <t>W</t>
        </is>
      </c>
    </row>
    <row r="236">
      <c r="A236" t="inlineStr">
        <is>
          <t>S002-상추</t>
        </is>
      </c>
      <c r="B236" t="inlineStr">
        <is>
          <t>부산 해운대 농장</t>
        </is>
      </c>
      <c r="C236" t="inlineStr">
        <is>
          <t>상추</t>
        </is>
      </c>
      <c r="D236" t="inlineStr">
        <is>
          <t>4. 조명·냉난방</t>
        </is>
      </c>
      <c r="E236" t="inlineStr">
        <is>
          <t>월 조명전력량</t>
        </is>
      </c>
      <c r="F236" s="10" t="n">
        <v>5592.321428571429</v>
      </c>
      <c r="G236" t="inlineStr">
        <is>
          <t>kWh</t>
        </is>
      </c>
    </row>
    <row r="237">
      <c r="A237" t="inlineStr">
        <is>
          <t>S002-상추</t>
        </is>
      </c>
      <c r="B237" t="inlineStr">
        <is>
          <t>부산 해운대 농장</t>
        </is>
      </c>
      <c r="C237" t="inlineStr">
        <is>
          <t>상추</t>
        </is>
      </c>
      <c r="D237" t="inlineStr">
        <is>
          <t>5. 습도</t>
        </is>
      </c>
      <c r="E237" t="inlineStr">
        <is>
          <t>월 증발산량</t>
        </is>
      </c>
      <c r="F237" s="10" t="n">
        <v>16702.4</v>
      </c>
      <c r="G237" t="inlineStr">
        <is>
          <t>kg</t>
        </is>
      </c>
    </row>
    <row r="238">
      <c r="A238" t="inlineStr">
        <is>
          <t>S002-상추</t>
        </is>
      </c>
      <c r="B238" t="inlineStr">
        <is>
          <t>부산 해운대 농장</t>
        </is>
      </c>
      <c r="C238" t="inlineStr">
        <is>
          <t>상추</t>
        </is>
      </c>
      <c r="D238" t="inlineStr">
        <is>
          <t>6. 전기비</t>
        </is>
      </c>
      <c r="E238" t="inlineStr">
        <is>
          <t>월평균 총 전력량</t>
        </is>
      </c>
      <c r="F238" s="10" t="n">
        <v>14408.11237774814</v>
      </c>
      <c r="G238" t="inlineStr">
        <is>
          <t>kWh</t>
        </is>
      </c>
    </row>
    <row r="239">
      <c r="A239" t="inlineStr">
        <is>
          <t>S002-상추</t>
        </is>
      </c>
      <c r="B239" t="inlineStr">
        <is>
          <t>부산 해운대 농장</t>
        </is>
      </c>
      <c r="C239" t="inlineStr">
        <is>
          <t>상추</t>
        </is>
      </c>
      <c r="D239" t="inlineStr">
        <is>
          <t>6. 전기비</t>
        </is>
      </c>
      <c r="E239" t="inlineStr">
        <is>
          <t>월 전기비</t>
        </is>
      </c>
      <c r="F239" s="8" t="n">
        <v>2233257.418550962</v>
      </c>
      <c r="G239" t="inlineStr">
        <is>
          <t>원</t>
        </is>
      </c>
    </row>
    <row r="240">
      <c r="A240" t="inlineStr">
        <is>
          <t>S002-상추</t>
        </is>
      </c>
      <c r="B240" t="inlineStr">
        <is>
          <t>부산 해운대 농장</t>
        </is>
      </c>
      <c r="C240" t="inlineStr">
        <is>
          <t>상추</t>
        </is>
      </c>
      <c r="D240" t="inlineStr">
        <is>
          <t>7. 수도비</t>
        </is>
      </c>
      <c r="E240" t="inlineStr">
        <is>
          <t>배액률</t>
        </is>
      </c>
      <c r="F240" s="11" t="n">
        <v>0.3</v>
      </c>
      <c r="G240" t="inlineStr">
        <is>
          <t>%</t>
        </is>
      </c>
    </row>
    <row r="241">
      <c r="A241" t="inlineStr">
        <is>
          <t>S002-상추</t>
        </is>
      </c>
      <c r="B241" t="inlineStr">
        <is>
          <t>부산 해운대 농장</t>
        </is>
      </c>
      <c r="C241" t="inlineStr">
        <is>
          <t>상추</t>
        </is>
      </c>
      <c r="D241" t="inlineStr">
        <is>
          <t>7. 수도비</t>
        </is>
      </c>
      <c r="E241" t="inlineStr">
        <is>
          <t>월 작물 순소비량</t>
        </is>
      </c>
      <c r="F241" s="10" t="n">
        <v>16.7024</v>
      </c>
      <c r="G241" t="inlineStr">
        <is>
          <t>m³</t>
        </is>
      </c>
    </row>
    <row r="242">
      <c r="A242" t="inlineStr">
        <is>
          <t>S002-상추</t>
        </is>
      </c>
      <c r="B242" t="inlineStr">
        <is>
          <t>부산 해운대 농장</t>
        </is>
      </c>
      <c r="C242" t="inlineStr">
        <is>
          <t>상추</t>
        </is>
      </c>
      <c r="D242" t="inlineStr">
        <is>
          <t>7. 수도비</t>
        </is>
      </c>
      <c r="E242" t="inlineStr">
        <is>
          <t>월 배액량</t>
        </is>
      </c>
      <c r="F242" s="10" t="n">
        <v>7.158171428571429</v>
      </c>
      <c r="G242" t="inlineStr">
        <is>
          <t>m³</t>
        </is>
      </c>
    </row>
    <row r="243">
      <c r="A243" t="inlineStr">
        <is>
          <t>S002-상추</t>
        </is>
      </c>
      <c r="B243" t="inlineStr">
        <is>
          <t>부산 해운대 농장</t>
        </is>
      </c>
      <c r="C243" t="inlineStr">
        <is>
          <t>상추</t>
        </is>
      </c>
      <c r="D243" t="inlineStr">
        <is>
          <t>7. 수도비</t>
        </is>
      </c>
      <c r="E243" t="inlineStr">
        <is>
          <t>월 작물 관수량</t>
        </is>
      </c>
      <c r="F243" s="10" t="n">
        <v>23.86057142857143</v>
      </c>
      <c r="G243" t="inlineStr">
        <is>
          <t>m³</t>
        </is>
      </c>
    </row>
    <row r="244">
      <c r="A244" t="inlineStr">
        <is>
          <t>S002-상추</t>
        </is>
      </c>
      <c r="B244" t="inlineStr">
        <is>
          <t>부산 해운대 농장</t>
        </is>
      </c>
      <c r="C244" t="inlineStr">
        <is>
          <t>상추</t>
        </is>
      </c>
      <c r="D244" t="inlineStr">
        <is>
          <t>7. 수도비</t>
        </is>
      </c>
      <c r="E244" t="inlineStr">
        <is>
          <t>월 기타 용수량</t>
        </is>
      </c>
      <c r="F244" s="10" t="n">
        <v>0.4015000000000001</v>
      </c>
      <c r="G244" t="inlineStr">
        <is>
          <t>m³</t>
        </is>
      </c>
    </row>
    <row r="245">
      <c r="A245" t="inlineStr">
        <is>
          <t>S002-상추</t>
        </is>
      </c>
      <c r="B245" t="inlineStr">
        <is>
          <t>부산 해운대 농장</t>
        </is>
      </c>
      <c r="C245" t="inlineStr">
        <is>
          <t>상추</t>
        </is>
      </c>
      <c r="D245" t="inlineStr">
        <is>
          <t>7. 수도비</t>
        </is>
      </c>
      <c r="E245" t="inlineStr">
        <is>
          <t>월 총 용수량</t>
        </is>
      </c>
      <c r="F245" s="10" t="n">
        <v>24.26207142857143</v>
      </c>
      <c r="G245" t="inlineStr">
        <is>
          <t>m³</t>
        </is>
      </c>
    </row>
    <row r="246">
      <c r="A246" t="inlineStr">
        <is>
          <t>S002-상추</t>
        </is>
      </c>
      <c r="B246" t="inlineStr">
        <is>
          <t>부산 해운대 농장</t>
        </is>
      </c>
      <c r="C246" t="inlineStr">
        <is>
          <t>상추</t>
        </is>
      </c>
      <c r="D246" t="inlineStr">
        <is>
          <t>7. 수도비</t>
        </is>
      </c>
      <c r="E246" t="inlineStr">
        <is>
          <t>월 수도비</t>
        </is>
      </c>
      <c r="F246" s="8" t="n">
        <v>55802.76428571429</v>
      </c>
      <c r="G246" t="inlineStr">
        <is>
          <t>원</t>
        </is>
      </c>
    </row>
    <row r="247">
      <c r="A247" t="inlineStr">
        <is>
          <t>S002-상추</t>
        </is>
      </c>
      <c r="B247" t="inlineStr">
        <is>
          <t>부산 해운대 농장</t>
        </is>
      </c>
      <c r="C247" t="inlineStr">
        <is>
          <t>상추</t>
        </is>
      </c>
      <c r="D247" t="inlineStr">
        <is>
          <t>8. 재료비</t>
        </is>
      </c>
      <c r="E247" t="inlineStr">
        <is>
          <t>면적당 월 환산 모종비</t>
        </is>
      </c>
      <c r="F247" s="8" t="n">
        <v>5000</v>
      </c>
      <c r="G247" t="inlineStr">
        <is>
          <t>원/m²/month</t>
        </is>
      </c>
    </row>
    <row r="248">
      <c r="A248" t="inlineStr">
        <is>
          <t>S002-상추</t>
        </is>
      </c>
      <c r="B248" t="inlineStr">
        <is>
          <t>부산 해운대 농장</t>
        </is>
      </c>
      <c r="C248" t="inlineStr">
        <is>
          <t>상추</t>
        </is>
      </c>
      <c r="D248" t="inlineStr">
        <is>
          <t>8. 재료비</t>
        </is>
      </c>
      <c r="E248" t="inlineStr">
        <is>
          <t>월 모종비</t>
        </is>
      </c>
      <c r="F248" s="8" t="n">
        <v>858000</v>
      </c>
      <c r="G248" t="inlineStr">
        <is>
          <t>원</t>
        </is>
      </c>
    </row>
    <row r="249">
      <c r="A249" t="inlineStr">
        <is>
          <t>S002-상추</t>
        </is>
      </c>
      <c r="B249" t="inlineStr">
        <is>
          <t>부산 해운대 농장</t>
        </is>
      </c>
      <c r="C249" t="inlineStr">
        <is>
          <t>상추</t>
        </is>
      </c>
      <c r="D249" t="inlineStr">
        <is>
          <t>8. 재료비</t>
        </is>
      </c>
      <c r="E249" t="inlineStr">
        <is>
          <t>월 양액 사용량</t>
        </is>
      </c>
      <c r="F249" s="10" t="n">
        <v>23.86057142857143</v>
      </c>
      <c r="G249" t="inlineStr">
        <is>
          <t>m³</t>
        </is>
      </c>
    </row>
    <row r="250">
      <c r="A250" t="inlineStr">
        <is>
          <t>S002-상추</t>
        </is>
      </c>
      <c r="B250" t="inlineStr">
        <is>
          <t>부산 해운대 농장</t>
        </is>
      </c>
      <c r="C250" t="inlineStr">
        <is>
          <t>상추</t>
        </is>
      </c>
      <c r="D250" t="inlineStr">
        <is>
          <t>8. 재료비</t>
        </is>
      </c>
      <c r="E250" t="inlineStr">
        <is>
          <t>월 양액비</t>
        </is>
      </c>
      <c r="F250" s="8" t="n">
        <v>477211.4285714286</v>
      </c>
      <c r="G250" t="inlineStr">
        <is>
          <t>원</t>
        </is>
      </c>
    </row>
    <row r="251">
      <c r="A251" t="inlineStr">
        <is>
          <t>S002-상추</t>
        </is>
      </c>
      <c r="B251" t="inlineStr">
        <is>
          <t>부산 해운대 농장</t>
        </is>
      </c>
      <c r="C251" t="inlineStr">
        <is>
          <t>상추</t>
        </is>
      </c>
      <c r="D251" t="inlineStr">
        <is>
          <t>8. 재료비</t>
        </is>
      </c>
      <c r="E251" t="inlineStr">
        <is>
          <t>월 재료비</t>
        </is>
      </c>
      <c r="F251" s="8" t="n">
        <v>1335211.428571429</v>
      </c>
      <c r="G251" t="inlineStr">
        <is>
          <t>원</t>
        </is>
      </c>
    </row>
    <row r="252">
      <c r="A252" t="inlineStr">
        <is>
          <t>S002-상추</t>
        </is>
      </c>
      <c r="B252" t="inlineStr">
        <is>
          <t>부산 해운대 농장</t>
        </is>
      </c>
      <c r="C252" t="inlineStr">
        <is>
          <t>상추</t>
        </is>
      </c>
      <c r="D252" t="inlineStr">
        <is>
          <t>9. 인건비</t>
        </is>
      </c>
      <c r="E252" t="inlineStr">
        <is>
          <t>월 노동시간</t>
        </is>
      </c>
      <c r="F252" s="10" t="n">
        <v>257.4</v>
      </c>
      <c r="G252" t="inlineStr">
        <is>
          <t>시간</t>
        </is>
      </c>
    </row>
    <row r="253">
      <c r="A253" t="inlineStr">
        <is>
          <t>S002-상추</t>
        </is>
      </c>
      <c r="B253" t="inlineStr">
        <is>
          <t>부산 해운대 농장</t>
        </is>
      </c>
      <c r="C253" t="inlineStr">
        <is>
          <t>상추</t>
        </is>
      </c>
      <c r="D253" t="inlineStr">
        <is>
          <t>9. 인건비</t>
        </is>
      </c>
      <c r="E253" t="inlineStr">
        <is>
          <t>월 인건비</t>
        </is>
      </c>
      <c r="F253" s="8" t="n">
        <v>2656368</v>
      </c>
      <c r="G253" t="inlineStr">
        <is>
          <t>원</t>
        </is>
      </c>
    </row>
    <row r="254">
      <c r="A254" t="inlineStr">
        <is>
          <t>S002-상추</t>
        </is>
      </c>
      <c r="B254" t="inlineStr">
        <is>
          <t>부산 해운대 농장</t>
        </is>
      </c>
      <c r="C254" t="inlineStr">
        <is>
          <t>상추</t>
        </is>
      </c>
      <c r="D254" t="inlineStr">
        <is>
          <t>10. 수익</t>
        </is>
      </c>
      <c r="E254" t="inlineStr">
        <is>
          <t>기기 대여비 적용면적</t>
        </is>
      </c>
      <c r="F254" s="10" t="n">
        <v>42.9</v>
      </c>
      <c r="G254" t="inlineStr">
        <is>
          <t>m²</t>
        </is>
      </c>
    </row>
    <row r="255">
      <c r="A255" t="inlineStr">
        <is>
          <t>S002-상추</t>
        </is>
      </c>
      <c r="B255" t="inlineStr">
        <is>
          <t>부산 해운대 농장</t>
        </is>
      </c>
      <c r="C255" t="inlineStr">
        <is>
          <t>상추</t>
        </is>
      </c>
      <c r="D255" t="inlineStr">
        <is>
          <t>10. 수익</t>
        </is>
      </c>
      <c r="E255" t="inlineStr">
        <is>
          <t>면적당 월 기기 대여비</t>
        </is>
      </c>
      <c r="F255" s="8" t="n">
        <v>22000</v>
      </c>
      <c r="G255" t="inlineStr">
        <is>
          <t>원/m²/month</t>
        </is>
      </c>
    </row>
    <row r="256">
      <c r="A256" t="inlineStr">
        <is>
          <t>S002-상추</t>
        </is>
      </c>
      <c r="B256" t="inlineStr">
        <is>
          <t>부산 해운대 농장</t>
        </is>
      </c>
      <c r="C256" t="inlineStr">
        <is>
          <t>상추</t>
        </is>
      </c>
      <c r="D256" t="inlineStr">
        <is>
          <t>10. 수익</t>
        </is>
      </c>
      <c r="E256" t="inlineStr">
        <is>
          <t>월 기기 대여비</t>
        </is>
      </c>
      <c r="F256" s="8" t="n">
        <v>943800</v>
      </c>
      <c r="G256" t="inlineStr">
        <is>
          <t>원</t>
        </is>
      </c>
    </row>
    <row r="257">
      <c r="A257" t="inlineStr">
        <is>
          <t>S002-상추</t>
        </is>
      </c>
      <c r="B257" t="inlineStr">
        <is>
          <t>부산 해운대 농장</t>
        </is>
      </c>
      <c r="C257" t="inlineStr">
        <is>
          <t>상추</t>
        </is>
      </c>
      <c r="D257" t="inlineStr">
        <is>
          <t>10. 수익</t>
        </is>
      </c>
      <c r="E257" t="inlineStr">
        <is>
          <t>월 운영비</t>
        </is>
      </c>
      <c r="F257" s="8" t="n">
        <v>7524439.611408105</v>
      </c>
      <c r="G257" t="inlineStr">
        <is>
          <t>원</t>
        </is>
      </c>
    </row>
    <row r="258">
      <c r="A258" t="inlineStr">
        <is>
          <t>S002-상추</t>
        </is>
      </c>
      <c r="B258" t="inlineStr">
        <is>
          <t>부산 해운대 농장</t>
        </is>
      </c>
      <c r="C258" t="inlineStr">
        <is>
          <t>상추</t>
        </is>
      </c>
      <c r="D258" t="inlineStr">
        <is>
          <t>10. 수익</t>
        </is>
      </c>
      <c r="E258" t="inlineStr">
        <is>
          <t>월 영업이익</t>
        </is>
      </c>
      <c r="F258" s="8" t="n">
        <v>-3817879.611408105</v>
      </c>
      <c r="G258" t="inlineStr">
        <is>
          <t>원</t>
        </is>
      </c>
    </row>
    <row r="259">
      <c r="A259" t="inlineStr">
        <is>
          <t>S002-상추</t>
        </is>
      </c>
      <c r="B259" t="inlineStr">
        <is>
          <t>부산 해운대 농장</t>
        </is>
      </c>
      <c r="C259" t="inlineStr">
        <is>
          <t>상추</t>
        </is>
      </c>
      <c r="D259" t="inlineStr">
        <is>
          <t>10. 수익</t>
        </is>
      </c>
      <c r="E259" t="inlineStr">
        <is>
          <t>공간 대여자 예상수익</t>
        </is>
      </c>
      <c r="F259" s="8" t="n">
        <v>-3054303.689126484</v>
      </c>
      <c r="G259" t="inlineStr">
        <is>
          <t>원</t>
        </is>
      </c>
    </row>
    <row r="260">
      <c r="A260" t="inlineStr">
        <is>
          <t>S002-상추</t>
        </is>
      </c>
      <c r="B260" t="inlineStr">
        <is>
          <t>부산 해운대 농장</t>
        </is>
      </c>
      <c r="C260" t="inlineStr">
        <is>
          <t>상추</t>
        </is>
      </c>
      <c r="D260" t="inlineStr">
        <is>
          <t>10. 수익</t>
        </is>
      </c>
      <c r="E260" t="inlineStr">
        <is>
          <t>원하는 월세</t>
        </is>
      </c>
      <c r="F260" s="8" t="n">
        <v>800000</v>
      </c>
      <c r="G260" t="inlineStr">
        <is>
          <t>원</t>
        </is>
      </c>
    </row>
    <row r="261">
      <c r="A261" t="inlineStr">
        <is>
          <t>S002-상추</t>
        </is>
      </c>
      <c r="B261" t="inlineStr">
        <is>
          <t>부산 해운대 농장</t>
        </is>
      </c>
      <c r="C261" t="inlineStr">
        <is>
          <t>상추</t>
        </is>
      </c>
      <c r="D261" t="inlineStr">
        <is>
          <t>10. 수익</t>
        </is>
      </c>
      <c r="E261" t="inlineStr">
        <is>
          <t>공실 월세 대비 차이</t>
        </is>
      </c>
      <c r="F261" s="8" t="n">
        <v>-3854303.689126484</v>
      </c>
      <c r="G261" t="inlineStr">
        <is>
          <t>원</t>
        </is>
      </c>
    </row>
    <row r="262">
      <c r="A262" t="inlineStr">
        <is>
          <t>S002-상추</t>
        </is>
      </c>
      <c r="B262" t="inlineStr">
        <is>
          <t>부산 해운대 농장</t>
        </is>
      </c>
      <c r="C262" t="inlineStr">
        <is>
          <t>상추</t>
        </is>
      </c>
      <c r="D262" t="inlineStr">
        <is>
          <t>10. 수익</t>
        </is>
      </c>
      <c r="E262" t="inlineStr">
        <is>
          <t>사업장 영업이익</t>
        </is>
      </c>
      <c r="F262" s="8" t="n">
        <v>-763575.922281621</v>
      </c>
      <c r="G262" t="inlineStr">
        <is>
          <t>원</t>
        </is>
      </c>
    </row>
    <row r="263">
      <c r="A263" t="inlineStr">
        <is>
          <t>S002-딸기</t>
        </is>
      </c>
      <c r="B263" t="inlineStr">
        <is>
          <t>부산 해운대 농장</t>
        </is>
      </c>
      <c r="C263" t="inlineStr">
        <is>
          <t>딸기</t>
        </is>
      </c>
      <c r="D263" t="inlineStr">
        <is>
          <t>1. 공간</t>
        </is>
      </c>
      <c r="E263" t="inlineStr">
        <is>
          <t>공실 전체면적</t>
        </is>
      </c>
      <c r="F263" s="10" t="n">
        <v>66</v>
      </c>
      <c r="G263" t="inlineStr">
        <is>
          <t>m²</t>
        </is>
      </c>
    </row>
    <row r="264">
      <c r="A264" t="inlineStr">
        <is>
          <t>S002-딸기</t>
        </is>
      </c>
      <c r="B264" t="inlineStr">
        <is>
          <t>부산 해운대 농장</t>
        </is>
      </c>
      <c r="C264" t="inlineStr">
        <is>
          <t>딸기</t>
        </is>
      </c>
      <c r="D264" t="inlineStr">
        <is>
          <t>1. 공간</t>
        </is>
      </c>
      <c r="E264" t="inlineStr">
        <is>
          <t>사용가능 바닥면적</t>
        </is>
      </c>
      <c r="F264" s="10" t="n">
        <v>42.9</v>
      </c>
      <c r="G264" t="inlineStr">
        <is>
          <t>m²</t>
        </is>
      </c>
    </row>
    <row r="265">
      <c r="A265" t="inlineStr">
        <is>
          <t>S002-딸기</t>
        </is>
      </c>
      <c r="B265" t="inlineStr">
        <is>
          <t>부산 해운대 농장</t>
        </is>
      </c>
      <c r="C265" t="inlineStr">
        <is>
          <t>딸기</t>
        </is>
      </c>
      <c r="D265" t="inlineStr">
        <is>
          <t>1. 공간</t>
        </is>
      </c>
      <c r="E265" t="inlineStr">
        <is>
          <t>작물별 모듈 층 수</t>
        </is>
      </c>
      <c r="F265" s="8" t="n">
        <v>2</v>
      </c>
      <c r="G265" t="inlineStr">
        <is>
          <t>층</t>
        </is>
      </c>
    </row>
    <row r="266">
      <c r="A266" t="inlineStr">
        <is>
          <t>S002-딸기</t>
        </is>
      </c>
      <c r="B266" t="inlineStr">
        <is>
          <t>부산 해운대 농장</t>
        </is>
      </c>
      <c r="C266" t="inlineStr">
        <is>
          <t>딸기</t>
        </is>
      </c>
      <c r="D266" t="inlineStr">
        <is>
          <t>1. 공간</t>
        </is>
      </c>
      <c r="E266" t="inlineStr">
        <is>
          <t>재배면적</t>
        </is>
      </c>
      <c r="F266" s="10" t="n">
        <v>85.8</v>
      </c>
      <c r="G266" t="inlineStr">
        <is>
          <t>m²</t>
        </is>
      </c>
    </row>
    <row r="267">
      <c r="A267" t="inlineStr">
        <is>
          <t>S002-딸기</t>
        </is>
      </c>
      <c r="B267" t="inlineStr">
        <is>
          <t>부산 해운대 농장</t>
        </is>
      </c>
      <c r="C267" t="inlineStr">
        <is>
          <t>딸기</t>
        </is>
      </c>
      <c r="D267" t="inlineStr">
        <is>
          <t>1. 공간</t>
        </is>
      </c>
      <c r="E267" t="inlineStr">
        <is>
          <t>공간 체적</t>
        </is>
      </c>
      <c r="F267" s="10" t="n">
        <v>165</v>
      </c>
      <c r="G267" t="inlineStr">
        <is>
          <t>m³</t>
        </is>
      </c>
    </row>
    <row r="268">
      <c r="A268" t="inlineStr">
        <is>
          <t>S002-딸기</t>
        </is>
      </c>
      <c r="B268" t="inlineStr">
        <is>
          <t>부산 해운대 농장</t>
        </is>
      </c>
      <c r="C268" t="inlineStr">
        <is>
          <t>딸기</t>
        </is>
      </c>
      <c r="D268" t="inlineStr">
        <is>
          <t>2. 생산</t>
        </is>
      </c>
      <c r="E268" t="inlineStr">
        <is>
          <t>월 총생산량</t>
        </is>
      </c>
      <c r="F268" s="10" t="n">
        <v>171.6</v>
      </c>
      <c r="G268" t="inlineStr">
        <is>
          <t>kg</t>
        </is>
      </c>
    </row>
    <row r="269">
      <c r="A269" t="inlineStr">
        <is>
          <t>S002-딸기</t>
        </is>
      </c>
      <c r="B269" t="inlineStr">
        <is>
          <t>부산 해운대 농장</t>
        </is>
      </c>
      <c r="C269" t="inlineStr">
        <is>
          <t>딸기</t>
        </is>
      </c>
      <c r="D269" t="inlineStr">
        <is>
          <t>2. 생산</t>
        </is>
      </c>
      <c r="E269" t="inlineStr">
        <is>
          <t>월 판매량</t>
        </is>
      </c>
      <c r="F269" s="10" t="n">
        <v>154.44</v>
      </c>
      <c r="G269" t="inlineStr">
        <is>
          <t>kg</t>
        </is>
      </c>
    </row>
    <row r="270">
      <c r="A270" t="inlineStr">
        <is>
          <t>S002-딸기</t>
        </is>
      </c>
      <c r="B270" t="inlineStr">
        <is>
          <t>부산 해운대 농장</t>
        </is>
      </c>
      <c r="C270" t="inlineStr">
        <is>
          <t>딸기</t>
        </is>
      </c>
      <c r="D270" t="inlineStr">
        <is>
          <t>3. 매출</t>
        </is>
      </c>
      <c r="E270" t="inlineStr">
        <is>
          <t>판매가격</t>
        </is>
      </c>
      <c r="F270" s="8" t="n">
        <v>30000</v>
      </c>
      <c r="G270" t="inlineStr">
        <is>
          <t>원/kg</t>
        </is>
      </c>
    </row>
    <row r="271">
      <c r="A271" t="inlineStr">
        <is>
          <t>S002-딸기</t>
        </is>
      </c>
      <c r="B271" t="inlineStr">
        <is>
          <t>부산 해운대 농장</t>
        </is>
      </c>
      <c r="C271" t="inlineStr">
        <is>
          <t>딸기</t>
        </is>
      </c>
      <c r="D271" t="inlineStr">
        <is>
          <t>3. 매출</t>
        </is>
      </c>
      <c r="E271" t="inlineStr">
        <is>
          <t>월 매출</t>
        </is>
      </c>
      <c r="F271" s="8" t="n">
        <v>4633200</v>
      </c>
      <c r="G271" t="inlineStr">
        <is>
          <t>원</t>
        </is>
      </c>
    </row>
    <row r="272">
      <c r="A272" t="inlineStr">
        <is>
          <t>S002-딸기</t>
        </is>
      </c>
      <c r="B272" t="inlineStr">
        <is>
          <t>부산 해운대 농장</t>
        </is>
      </c>
      <c r="C272" t="inlineStr">
        <is>
          <t>딸기</t>
        </is>
      </c>
      <c r="D272" t="inlineStr">
        <is>
          <t>4. 조명·냉난방</t>
        </is>
      </c>
      <c r="E272" t="inlineStr">
        <is>
          <t>필요 조명전력</t>
        </is>
      </c>
      <c r="F272" s="10" t="n">
        <v>7660.714285714286</v>
      </c>
      <c r="G272" t="inlineStr">
        <is>
          <t>W</t>
        </is>
      </c>
    </row>
    <row r="273">
      <c r="A273" t="inlineStr">
        <is>
          <t>S002-딸기</t>
        </is>
      </c>
      <c r="B273" t="inlineStr">
        <is>
          <t>부산 해운대 농장</t>
        </is>
      </c>
      <c r="C273" t="inlineStr">
        <is>
          <t>딸기</t>
        </is>
      </c>
      <c r="D273" t="inlineStr">
        <is>
          <t>4. 조명·냉난방</t>
        </is>
      </c>
      <c r="E273" t="inlineStr">
        <is>
          <t>월 조명전력량</t>
        </is>
      </c>
      <c r="F273" s="10" t="n">
        <v>3728.214285714286</v>
      </c>
      <c r="G273" t="inlineStr">
        <is>
          <t>kWh</t>
        </is>
      </c>
    </row>
    <row r="274">
      <c r="A274" t="inlineStr">
        <is>
          <t>S002-딸기</t>
        </is>
      </c>
      <c r="B274" t="inlineStr">
        <is>
          <t>부산 해운대 농장</t>
        </is>
      </c>
      <c r="C274" t="inlineStr">
        <is>
          <t>딸기</t>
        </is>
      </c>
      <c r="D274" t="inlineStr">
        <is>
          <t>5. 습도</t>
        </is>
      </c>
      <c r="E274" t="inlineStr">
        <is>
          <t>월 증발산량</t>
        </is>
      </c>
      <c r="F274" s="10" t="n">
        <v>2348.775</v>
      </c>
      <c r="G274" t="inlineStr">
        <is>
          <t>kg</t>
        </is>
      </c>
    </row>
    <row r="275">
      <c r="A275" t="inlineStr">
        <is>
          <t>S002-딸기</t>
        </is>
      </c>
      <c r="B275" t="inlineStr">
        <is>
          <t>부산 해운대 농장</t>
        </is>
      </c>
      <c r="C275" t="inlineStr">
        <is>
          <t>딸기</t>
        </is>
      </c>
      <c r="D275" t="inlineStr">
        <is>
          <t>6. 전기비</t>
        </is>
      </c>
      <c r="E275" t="inlineStr">
        <is>
          <t>월평균 총 전력량</t>
        </is>
      </c>
      <c r="F275" s="10" t="n">
        <v>5205.228993936708</v>
      </c>
      <c r="G275" t="inlineStr">
        <is>
          <t>kWh</t>
        </is>
      </c>
    </row>
    <row r="276">
      <c r="A276" t="inlineStr">
        <is>
          <t>S002-딸기</t>
        </is>
      </c>
      <c r="B276" t="inlineStr">
        <is>
          <t>부산 해운대 농장</t>
        </is>
      </c>
      <c r="C276" t="inlineStr">
        <is>
          <t>딸기</t>
        </is>
      </c>
      <c r="D276" t="inlineStr">
        <is>
          <t>6. 전기비</t>
        </is>
      </c>
      <c r="E276" t="inlineStr">
        <is>
          <t>월 전기비</t>
        </is>
      </c>
      <c r="F276" s="8" t="n">
        <v>806810.4940601898</v>
      </c>
      <c r="G276" t="inlineStr">
        <is>
          <t>원</t>
        </is>
      </c>
    </row>
    <row r="277">
      <c r="A277" t="inlineStr">
        <is>
          <t>S002-딸기</t>
        </is>
      </c>
      <c r="B277" t="inlineStr">
        <is>
          <t>부산 해운대 농장</t>
        </is>
      </c>
      <c r="C277" t="inlineStr">
        <is>
          <t>딸기</t>
        </is>
      </c>
      <c r="D277" t="inlineStr">
        <is>
          <t>7. 수도비</t>
        </is>
      </c>
      <c r="E277" t="inlineStr">
        <is>
          <t>배액률</t>
        </is>
      </c>
      <c r="F277" s="11" t="n">
        <v>0.3</v>
      </c>
      <c r="G277" t="inlineStr">
        <is>
          <t>%</t>
        </is>
      </c>
    </row>
    <row r="278">
      <c r="A278" t="inlineStr">
        <is>
          <t>S002-딸기</t>
        </is>
      </c>
      <c r="B278" t="inlineStr">
        <is>
          <t>부산 해운대 농장</t>
        </is>
      </c>
      <c r="C278" t="inlineStr">
        <is>
          <t>딸기</t>
        </is>
      </c>
      <c r="D278" t="inlineStr">
        <is>
          <t>7. 수도비</t>
        </is>
      </c>
      <c r="E278" t="inlineStr">
        <is>
          <t>월 작물 순소비량</t>
        </is>
      </c>
      <c r="F278" s="10" t="n">
        <v>2.348775</v>
      </c>
      <c r="G278" t="inlineStr">
        <is>
          <t>m³</t>
        </is>
      </c>
    </row>
    <row r="279">
      <c r="A279" t="inlineStr">
        <is>
          <t>S002-딸기</t>
        </is>
      </c>
      <c r="B279" t="inlineStr">
        <is>
          <t>부산 해운대 농장</t>
        </is>
      </c>
      <c r="C279" t="inlineStr">
        <is>
          <t>딸기</t>
        </is>
      </c>
      <c r="D279" t="inlineStr">
        <is>
          <t>7. 수도비</t>
        </is>
      </c>
      <c r="E279" t="inlineStr">
        <is>
          <t>월 배액량</t>
        </is>
      </c>
      <c r="F279" s="10" t="n">
        <v>1.006617857142857</v>
      </c>
      <c r="G279" t="inlineStr">
        <is>
          <t>m³</t>
        </is>
      </c>
    </row>
    <row r="280">
      <c r="A280" t="inlineStr">
        <is>
          <t>S002-딸기</t>
        </is>
      </c>
      <c r="B280" t="inlineStr">
        <is>
          <t>부산 해운대 농장</t>
        </is>
      </c>
      <c r="C280" t="inlineStr">
        <is>
          <t>딸기</t>
        </is>
      </c>
      <c r="D280" t="inlineStr">
        <is>
          <t>7. 수도비</t>
        </is>
      </c>
      <c r="E280" t="inlineStr">
        <is>
          <t>월 작물 관수량</t>
        </is>
      </c>
      <c r="F280" s="10" t="n">
        <v>3.355392857142857</v>
      </c>
      <c r="G280" t="inlineStr">
        <is>
          <t>m³</t>
        </is>
      </c>
    </row>
    <row r="281">
      <c r="A281" t="inlineStr">
        <is>
          <t>S002-딸기</t>
        </is>
      </c>
      <c r="B281" t="inlineStr">
        <is>
          <t>부산 해운대 농장</t>
        </is>
      </c>
      <c r="C281" t="inlineStr">
        <is>
          <t>딸기</t>
        </is>
      </c>
      <c r="D281" t="inlineStr">
        <is>
          <t>7. 수도비</t>
        </is>
      </c>
      <c r="E281" t="inlineStr">
        <is>
          <t>월 기타 용수량</t>
        </is>
      </c>
      <c r="F281" s="10" t="n">
        <v>0.4015000000000001</v>
      </c>
      <c r="G281" t="inlineStr">
        <is>
          <t>m³</t>
        </is>
      </c>
    </row>
    <row r="282">
      <c r="A282" t="inlineStr">
        <is>
          <t>S002-딸기</t>
        </is>
      </c>
      <c r="B282" t="inlineStr">
        <is>
          <t>부산 해운대 농장</t>
        </is>
      </c>
      <c r="C282" t="inlineStr">
        <is>
          <t>딸기</t>
        </is>
      </c>
      <c r="D282" t="inlineStr">
        <is>
          <t>7. 수도비</t>
        </is>
      </c>
      <c r="E282" t="inlineStr">
        <is>
          <t>월 총 용수량</t>
        </is>
      </c>
      <c r="F282" s="10" t="n">
        <v>3.756892857142857</v>
      </c>
      <c r="G282" t="inlineStr">
        <is>
          <t>m³</t>
        </is>
      </c>
    </row>
    <row r="283">
      <c r="A283" t="inlineStr">
        <is>
          <t>S002-딸기</t>
        </is>
      </c>
      <c r="B283" t="inlineStr">
        <is>
          <t>부산 해운대 농장</t>
        </is>
      </c>
      <c r="C283" t="inlineStr">
        <is>
          <t>딸기</t>
        </is>
      </c>
      <c r="D283" t="inlineStr">
        <is>
          <t>7. 수도비</t>
        </is>
      </c>
      <c r="E283" t="inlineStr">
        <is>
          <t>월 수도비</t>
        </is>
      </c>
      <c r="F283" s="8" t="n">
        <v>8640.853571428572</v>
      </c>
      <c r="G283" t="inlineStr">
        <is>
          <t>원</t>
        </is>
      </c>
    </row>
    <row r="284">
      <c r="A284" t="inlineStr">
        <is>
          <t>S002-딸기</t>
        </is>
      </c>
      <c r="B284" t="inlineStr">
        <is>
          <t>부산 해운대 농장</t>
        </is>
      </c>
      <c r="C284" t="inlineStr">
        <is>
          <t>딸기</t>
        </is>
      </c>
      <c r="D284" t="inlineStr">
        <is>
          <t>8. 재료비</t>
        </is>
      </c>
      <c r="E284" t="inlineStr">
        <is>
          <t>면적당 월 환산 모종비</t>
        </is>
      </c>
      <c r="F284" s="8" t="n">
        <v>3750</v>
      </c>
      <c r="G284" t="inlineStr">
        <is>
          <t>원/m²/month</t>
        </is>
      </c>
    </row>
    <row r="285">
      <c r="A285" t="inlineStr">
        <is>
          <t>S002-딸기</t>
        </is>
      </c>
      <c r="B285" t="inlineStr">
        <is>
          <t>부산 해운대 농장</t>
        </is>
      </c>
      <c r="C285" t="inlineStr">
        <is>
          <t>딸기</t>
        </is>
      </c>
      <c r="D285" t="inlineStr">
        <is>
          <t>8. 재료비</t>
        </is>
      </c>
      <c r="E285" t="inlineStr">
        <is>
          <t>월 모종비</t>
        </is>
      </c>
      <c r="F285" s="8" t="n">
        <v>321750</v>
      </c>
      <c r="G285" t="inlineStr">
        <is>
          <t>원</t>
        </is>
      </c>
    </row>
    <row r="286">
      <c r="A286" t="inlineStr">
        <is>
          <t>S002-딸기</t>
        </is>
      </c>
      <c r="B286" t="inlineStr">
        <is>
          <t>부산 해운대 농장</t>
        </is>
      </c>
      <c r="C286" t="inlineStr">
        <is>
          <t>딸기</t>
        </is>
      </c>
      <c r="D286" t="inlineStr">
        <is>
          <t>8. 재료비</t>
        </is>
      </c>
      <c r="E286" t="inlineStr">
        <is>
          <t>월 양액 사용량</t>
        </is>
      </c>
      <c r="F286" s="10" t="n">
        <v>3.355392857142857</v>
      </c>
      <c r="G286" t="inlineStr">
        <is>
          <t>m³</t>
        </is>
      </c>
    </row>
    <row r="287">
      <c r="A287" t="inlineStr">
        <is>
          <t>S002-딸기</t>
        </is>
      </c>
      <c r="B287" t="inlineStr">
        <is>
          <t>부산 해운대 농장</t>
        </is>
      </c>
      <c r="C287" t="inlineStr">
        <is>
          <t>딸기</t>
        </is>
      </c>
      <c r="D287" t="inlineStr">
        <is>
          <t>8. 재료비</t>
        </is>
      </c>
      <c r="E287" t="inlineStr">
        <is>
          <t>월 양액비</t>
        </is>
      </c>
      <c r="F287" s="8" t="n">
        <v>67107.85714285714</v>
      </c>
      <c r="G287" t="inlineStr">
        <is>
          <t>원</t>
        </is>
      </c>
    </row>
    <row r="288">
      <c r="A288" t="inlineStr">
        <is>
          <t>S002-딸기</t>
        </is>
      </c>
      <c r="B288" t="inlineStr">
        <is>
          <t>부산 해운대 농장</t>
        </is>
      </c>
      <c r="C288" t="inlineStr">
        <is>
          <t>딸기</t>
        </is>
      </c>
      <c r="D288" t="inlineStr">
        <is>
          <t>8. 재료비</t>
        </is>
      </c>
      <c r="E288" t="inlineStr">
        <is>
          <t>월 재료비</t>
        </is>
      </c>
      <c r="F288" s="8" t="n">
        <v>388857.8571428572</v>
      </c>
      <c r="G288" t="inlineStr">
        <is>
          <t>원</t>
        </is>
      </c>
    </row>
    <row r="289">
      <c r="A289" t="inlineStr">
        <is>
          <t>S002-딸기</t>
        </is>
      </c>
      <c r="B289" t="inlineStr">
        <is>
          <t>부산 해운대 농장</t>
        </is>
      </c>
      <c r="C289" t="inlineStr">
        <is>
          <t>딸기</t>
        </is>
      </c>
      <c r="D289" t="inlineStr">
        <is>
          <t>9. 인건비</t>
        </is>
      </c>
      <c r="E289" t="inlineStr">
        <is>
          <t>월 노동시간</t>
        </is>
      </c>
      <c r="F289" s="10" t="n">
        <v>85.8</v>
      </c>
      <c r="G289" t="inlineStr">
        <is>
          <t>시간</t>
        </is>
      </c>
    </row>
    <row r="290">
      <c r="A290" t="inlineStr">
        <is>
          <t>S002-딸기</t>
        </is>
      </c>
      <c r="B290" t="inlineStr">
        <is>
          <t>부산 해운대 농장</t>
        </is>
      </c>
      <c r="C290" t="inlineStr">
        <is>
          <t>딸기</t>
        </is>
      </c>
      <c r="D290" t="inlineStr">
        <is>
          <t>9. 인건비</t>
        </is>
      </c>
      <c r="E290" t="inlineStr">
        <is>
          <t>월 인건비</t>
        </is>
      </c>
      <c r="F290" s="8" t="n">
        <v>885456</v>
      </c>
      <c r="G290" t="inlineStr">
        <is>
          <t>원</t>
        </is>
      </c>
    </row>
    <row r="291">
      <c r="A291" t="inlineStr">
        <is>
          <t>S002-딸기</t>
        </is>
      </c>
      <c r="B291" t="inlineStr">
        <is>
          <t>부산 해운대 농장</t>
        </is>
      </c>
      <c r="C291" t="inlineStr">
        <is>
          <t>딸기</t>
        </is>
      </c>
      <c r="D291" t="inlineStr">
        <is>
          <t>10. 수익</t>
        </is>
      </c>
      <c r="E291" t="inlineStr">
        <is>
          <t>기기 대여비 적용면적</t>
        </is>
      </c>
      <c r="F291" s="10" t="n">
        <v>42.9</v>
      </c>
      <c r="G291" t="inlineStr">
        <is>
          <t>m²</t>
        </is>
      </c>
    </row>
    <row r="292">
      <c r="A292" t="inlineStr">
        <is>
          <t>S002-딸기</t>
        </is>
      </c>
      <c r="B292" t="inlineStr">
        <is>
          <t>부산 해운대 농장</t>
        </is>
      </c>
      <c r="C292" t="inlineStr">
        <is>
          <t>딸기</t>
        </is>
      </c>
      <c r="D292" t="inlineStr">
        <is>
          <t>10. 수익</t>
        </is>
      </c>
      <c r="E292" t="inlineStr">
        <is>
          <t>면적당 월 기기 대여비</t>
        </is>
      </c>
      <c r="F292" s="8" t="n">
        <v>22000</v>
      </c>
      <c r="G292" t="inlineStr">
        <is>
          <t>원/m²/month</t>
        </is>
      </c>
    </row>
    <row r="293">
      <c r="A293" t="inlineStr">
        <is>
          <t>S002-딸기</t>
        </is>
      </c>
      <c r="B293" t="inlineStr">
        <is>
          <t>부산 해운대 농장</t>
        </is>
      </c>
      <c r="C293" t="inlineStr">
        <is>
          <t>딸기</t>
        </is>
      </c>
      <c r="D293" t="inlineStr">
        <is>
          <t>10. 수익</t>
        </is>
      </c>
      <c r="E293" t="inlineStr">
        <is>
          <t>월 기기 대여비</t>
        </is>
      </c>
      <c r="F293" s="8" t="n">
        <v>943800</v>
      </c>
      <c r="G293" t="inlineStr">
        <is>
          <t>원</t>
        </is>
      </c>
    </row>
    <row r="294">
      <c r="A294" t="inlineStr">
        <is>
          <t>S002-딸기</t>
        </is>
      </c>
      <c r="B294" t="inlineStr">
        <is>
          <t>부산 해운대 농장</t>
        </is>
      </c>
      <c r="C294" t="inlineStr">
        <is>
          <t>딸기</t>
        </is>
      </c>
      <c r="D294" t="inlineStr">
        <is>
          <t>10. 수익</t>
        </is>
      </c>
      <c r="E294" t="inlineStr">
        <is>
          <t>월 운영비</t>
        </is>
      </c>
      <c r="F294" s="8" t="n">
        <v>3333565.204774476</v>
      </c>
      <c r="G294" t="inlineStr">
        <is>
          <t>원</t>
        </is>
      </c>
    </row>
    <row r="295">
      <c r="A295" t="inlineStr">
        <is>
          <t>S002-딸기</t>
        </is>
      </c>
      <c r="B295" t="inlineStr">
        <is>
          <t>부산 해운대 농장</t>
        </is>
      </c>
      <c r="C295" t="inlineStr">
        <is>
          <t>딸기</t>
        </is>
      </c>
      <c r="D295" t="inlineStr">
        <is>
          <t>10. 수익</t>
        </is>
      </c>
      <c r="E295" t="inlineStr">
        <is>
          <t>월 영업이익</t>
        </is>
      </c>
      <c r="F295" s="8" t="n">
        <v>1299634.795225524</v>
      </c>
      <c r="G295" t="inlineStr">
        <is>
          <t>원</t>
        </is>
      </c>
    </row>
    <row r="296">
      <c r="A296" t="inlineStr">
        <is>
          <t>S002-딸기</t>
        </is>
      </c>
      <c r="B296" t="inlineStr">
        <is>
          <t>부산 해운대 농장</t>
        </is>
      </c>
      <c r="C296" t="inlineStr">
        <is>
          <t>딸기</t>
        </is>
      </c>
      <c r="D296" t="inlineStr">
        <is>
          <t>10. 수익</t>
        </is>
      </c>
      <c r="E296" t="inlineStr">
        <is>
          <t>공간 대여자 예상수익</t>
        </is>
      </c>
      <c r="F296" s="8" t="n">
        <v>1039707.83618042</v>
      </c>
      <c r="G296" t="inlineStr">
        <is>
          <t>원</t>
        </is>
      </c>
    </row>
    <row r="297">
      <c r="A297" t="inlineStr">
        <is>
          <t>S002-딸기</t>
        </is>
      </c>
      <c r="B297" t="inlineStr">
        <is>
          <t>부산 해운대 농장</t>
        </is>
      </c>
      <c r="C297" t="inlineStr">
        <is>
          <t>딸기</t>
        </is>
      </c>
      <c r="D297" t="inlineStr">
        <is>
          <t>10. 수익</t>
        </is>
      </c>
      <c r="E297" t="inlineStr">
        <is>
          <t>원하는 월세</t>
        </is>
      </c>
      <c r="F297" s="8" t="n">
        <v>800000</v>
      </c>
      <c r="G297" t="inlineStr">
        <is>
          <t>원</t>
        </is>
      </c>
    </row>
    <row r="298">
      <c r="A298" t="inlineStr">
        <is>
          <t>S002-딸기</t>
        </is>
      </c>
      <c r="B298" t="inlineStr">
        <is>
          <t>부산 해운대 농장</t>
        </is>
      </c>
      <c r="C298" t="inlineStr">
        <is>
          <t>딸기</t>
        </is>
      </c>
      <c r="D298" t="inlineStr">
        <is>
          <t>10. 수익</t>
        </is>
      </c>
      <c r="E298" t="inlineStr">
        <is>
          <t>공실 월세 대비 차이</t>
        </is>
      </c>
      <c r="F298" s="8" t="n">
        <v>239707.8361804195</v>
      </c>
      <c r="G298" t="inlineStr">
        <is>
          <t>원</t>
        </is>
      </c>
    </row>
    <row r="299">
      <c r="A299" t="inlineStr">
        <is>
          <t>S002-딸기</t>
        </is>
      </c>
      <c r="B299" t="inlineStr">
        <is>
          <t>부산 해운대 농장</t>
        </is>
      </c>
      <c r="C299" t="inlineStr">
        <is>
          <t>딸기</t>
        </is>
      </c>
      <c r="D299" t="inlineStr">
        <is>
          <t>10. 수익</t>
        </is>
      </c>
      <c r="E299" t="inlineStr">
        <is>
          <t>사업장 영업이익</t>
        </is>
      </c>
      <c r="F299" s="8" t="n">
        <v>259926.9590451048</v>
      </c>
      <c r="G299" t="inlineStr">
        <is>
          <t>원</t>
        </is>
      </c>
    </row>
    <row r="300">
      <c r="A300" t="inlineStr">
        <is>
          <t>S002-바질</t>
        </is>
      </c>
      <c r="B300" t="inlineStr">
        <is>
          <t>부산 해운대 농장</t>
        </is>
      </c>
      <c r="C300" t="inlineStr">
        <is>
          <t>바질</t>
        </is>
      </c>
      <c r="D300" t="inlineStr">
        <is>
          <t>1. 공간</t>
        </is>
      </c>
      <c r="E300" t="inlineStr">
        <is>
          <t>공실 전체면적</t>
        </is>
      </c>
      <c r="F300" s="10" t="n">
        <v>66</v>
      </c>
      <c r="G300" t="inlineStr">
        <is>
          <t>m²</t>
        </is>
      </c>
    </row>
    <row r="301">
      <c r="A301" t="inlineStr">
        <is>
          <t>S002-바질</t>
        </is>
      </c>
      <c r="B301" t="inlineStr">
        <is>
          <t>부산 해운대 농장</t>
        </is>
      </c>
      <c r="C301" t="inlineStr">
        <is>
          <t>바질</t>
        </is>
      </c>
      <c r="D301" t="inlineStr">
        <is>
          <t>1. 공간</t>
        </is>
      </c>
      <c r="E301" t="inlineStr">
        <is>
          <t>사용가능 바닥면적</t>
        </is>
      </c>
      <c r="F301" s="10" t="n">
        <v>42.9</v>
      </c>
      <c r="G301" t="inlineStr">
        <is>
          <t>m²</t>
        </is>
      </c>
    </row>
    <row r="302">
      <c r="A302" t="inlineStr">
        <is>
          <t>S002-바질</t>
        </is>
      </c>
      <c r="B302" t="inlineStr">
        <is>
          <t>부산 해운대 농장</t>
        </is>
      </c>
      <c r="C302" t="inlineStr">
        <is>
          <t>바질</t>
        </is>
      </c>
      <c r="D302" t="inlineStr">
        <is>
          <t>1. 공간</t>
        </is>
      </c>
      <c r="E302" t="inlineStr">
        <is>
          <t>작물별 모듈 층 수</t>
        </is>
      </c>
      <c r="F302" s="8" t="n">
        <v>3</v>
      </c>
      <c r="G302" t="inlineStr">
        <is>
          <t>층</t>
        </is>
      </c>
    </row>
    <row r="303">
      <c r="A303" t="inlineStr">
        <is>
          <t>S002-바질</t>
        </is>
      </c>
      <c r="B303" t="inlineStr">
        <is>
          <t>부산 해운대 농장</t>
        </is>
      </c>
      <c r="C303" t="inlineStr">
        <is>
          <t>바질</t>
        </is>
      </c>
      <c r="D303" t="inlineStr">
        <is>
          <t>1. 공간</t>
        </is>
      </c>
      <c r="E303" t="inlineStr">
        <is>
          <t>재배면적</t>
        </is>
      </c>
      <c r="F303" s="10" t="n">
        <v>128.7</v>
      </c>
      <c r="G303" t="inlineStr">
        <is>
          <t>m²</t>
        </is>
      </c>
    </row>
    <row r="304">
      <c r="A304" t="inlineStr">
        <is>
          <t>S002-바질</t>
        </is>
      </c>
      <c r="B304" t="inlineStr">
        <is>
          <t>부산 해운대 농장</t>
        </is>
      </c>
      <c r="C304" t="inlineStr">
        <is>
          <t>바질</t>
        </is>
      </c>
      <c r="D304" t="inlineStr">
        <is>
          <t>1. 공간</t>
        </is>
      </c>
      <c r="E304" t="inlineStr">
        <is>
          <t>공간 체적</t>
        </is>
      </c>
      <c r="F304" s="10" t="n">
        <v>165</v>
      </c>
      <c r="G304" t="inlineStr">
        <is>
          <t>m³</t>
        </is>
      </c>
    </row>
    <row r="305">
      <c r="A305" t="inlineStr">
        <is>
          <t>S002-바질</t>
        </is>
      </c>
      <c r="B305" t="inlineStr">
        <is>
          <t>부산 해운대 농장</t>
        </is>
      </c>
      <c r="C305" t="inlineStr">
        <is>
          <t>바질</t>
        </is>
      </c>
      <c r="D305" t="inlineStr">
        <is>
          <t>2. 생산</t>
        </is>
      </c>
      <c r="E305" t="inlineStr">
        <is>
          <t>월 총생산량</t>
        </is>
      </c>
      <c r="F305" s="10" t="n">
        <v>308.88</v>
      </c>
      <c r="G305" t="inlineStr">
        <is>
          <t>kg</t>
        </is>
      </c>
    </row>
    <row r="306">
      <c r="A306" t="inlineStr">
        <is>
          <t>S002-바질</t>
        </is>
      </c>
      <c r="B306" t="inlineStr">
        <is>
          <t>부산 해운대 농장</t>
        </is>
      </c>
      <c r="C306" t="inlineStr">
        <is>
          <t>바질</t>
        </is>
      </c>
      <c r="D306" t="inlineStr">
        <is>
          <t>2. 생산</t>
        </is>
      </c>
      <c r="E306" t="inlineStr">
        <is>
          <t>월 판매량</t>
        </is>
      </c>
      <c r="F306" s="10" t="n">
        <v>277.992</v>
      </c>
      <c r="G306" t="inlineStr">
        <is>
          <t>kg</t>
        </is>
      </c>
    </row>
    <row r="307">
      <c r="A307" t="inlineStr">
        <is>
          <t>S002-바질</t>
        </is>
      </c>
      <c r="B307" t="inlineStr">
        <is>
          <t>부산 해운대 농장</t>
        </is>
      </c>
      <c r="C307" t="inlineStr">
        <is>
          <t>바질</t>
        </is>
      </c>
      <c r="D307" t="inlineStr">
        <is>
          <t>3. 매출</t>
        </is>
      </c>
      <c r="E307" t="inlineStr">
        <is>
          <t>판매가격</t>
        </is>
      </c>
      <c r="F307" s="8" t="n">
        <v>25000</v>
      </c>
      <c r="G307" t="inlineStr">
        <is>
          <t>원/kg</t>
        </is>
      </c>
    </row>
    <row r="308">
      <c r="A308" t="inlineStr">
        <is>
          <t>S002-바질</t>
        </is>
      </c>
      <c r="B308" t="inlineStr">
        <is>
          <t>부산 해운대 농장</t>
        </is>
      </c>
      <c r="C308" t="inlineStr">
        <is>
          <t>바질</t>
        </is>
      </c>
      <c r="D308" t="inlineStr">
        <is>
          <t>3. 매출</t>
        </is>
      </c>
      <c r="E308" t="inlineStr">
        <is>
          <t>월 매출</t>
        </is>
      </c>
      <c r="F308" s="8" t="n">
        <v>6949800.000000001</v>
      </c>
      <c r="G308" t="inlineStr">
        <is>
          <t>원</t>
        </is>
      </c>
    </row>
    <row r="309">
      <c r="A309" t="inlineStr">
        <is>
          <t>S002-바질</t>
        </is>
      </c>
      <c r="B309" t="inlineStr">
        <is>
          <t>부산 해운대 농장</t>
        </is>
      </c>
      <c r="C309" t="inlineStr">
        <is>
          <t>바질</t>
        </is>
      </c>
      <c r="D309" t="inlineStr">
        <is>
          <t>4. 조명·냉난방</t>
        </is>
      </c>
      <c r="E309" t="inlineStr">
        <is>
          <t>필요 조명전력</t>
        </is>
      </c>
      <c r="F309" s="10" t="n">
        <v>11491.07142857143</v>
      </c>
      <c r="G309" t="inlineStr">
        <is>
          <t>W</t>
        </is>
      </c>
    </row>
    <row r="310">
      <c r="A310" t="inlineStr">
        <is>
          <t>S002-바질</t>
        </is>
      </c>
      <c r="B310" t="inlineStr">
        <is>
          <t>부산 해운대 농장</t>
        </is>
      </c>
      <c r="C310" t="inlineStr">
        <is>
          <t>바질</t>
        </is>
      </c>
      <c r="D310" t="inlineStr">
        <is>
          <t>4. 조명·냉난방</t>
        </is>
      </c>
      <c r="E310" t="inlineStr">
        <is>
          <t>월 조명전력량</t>
        </is>
      </c>
      <c r="F310" s="10" t="n">
        <v>5592.321428571428</v>
      </c>
      <c r="G310" t="inlineStr">
        <is>
          <t>kWh</t>
        </is>
      </c>
    </row>
    <row r="311">
      <c r="A311" t="inlineStr">
        <is>
          <t>S002-바질</t>
        </is>
      </c>
      <c r="B311" t="inlineStr">
        <is>
          <t>부산 해운대 농장</t>
        </is>
      </c>
      <c r="C311" t="inlineStr">
        <is>
          <t>바질</t>
        </is>
      </c>
      <c r="D311" t="inlineStr">
        <is>
          <t>5. 습도</t>
        </is>
      </c>
      <c r="E311" t="inlineStr">
        <is>
          <t>월 증발산량</t>
        </is>
      </c>
      <c r="F311" s="10" t="n">
        <v>4306.0875</v>
      </c>
      <c r="G311" t="inlineStr">
        <is>
          <t>kg</t>
        </is>
      </c>
    </row>
    <row r="312">
      <c r="A312" t="inlineStr">
        <is>
          <t>S002-바질</t>
        </is>
      </c>
      <c r="B312" t="inlineStr">
        <is>
          <t>부산 해운대 농장</t>
        </is>
      </c>
      <c r="C312" t="inlineStr">
        <is>
          <t>바질</t>
        </is>
      </c>
      <c r="D312" t="inlineStr">
        <is>
          <t>6. 전기비</t>
        </is>
      </c>
      <c r="E312" t="inlineStr">
        <is>
          <t>월평균 총 전력량</t>
        </is>
      </c>
      <c r="F312" s="10" t="n">
        <v>8186.521350231673</v>
      </c>
      <c r="G312" t="inlineStr">
        <is>
          <t>kWh</t>
        </is>
      </c>
    </row>
    <row r="313">
      <c r="A313" t="inlineStr">
        <is>
          <t>S002-바질</t>
        </is>
      </c>
      <c r="B313" t="inlineStr">
        <is>
          <t>부산 해운대 농장</t>
        </is>
      </c>
      <c r="C313" t="inlineStr">
        <is>
          <t>바질</t>
        </is>
      </c>
      <c r="D313" t="inlineStr">
        <is>
          <t>6. 전기비</t>
        </is>
      </c>
      <c r="E313" t="inlineStr">
        <is>
          <t>월 전기비</t>
        </is>
      </c>
      <c r="F313" s="8" t="n">
        <v>1268910.809285909</v>
      </c>
      <c r="G313" t="inlineStr">
        <is>
          <t>원</t>
        </is>
      </c>
    </row>
    <row r="314">
      <c r="A314" t="inlineStr">
        <is>
          <t>S002-바질</t>
        </is>
      </c>
      <c r="B314" t="inlineStr">
        <is>
          <t>부산 해운대 농장</t>
        </is>
      </c>
      <c r="C314" t="inlineStr">
        <is>
          <t>바질</t>
        </is>
      </c>
      <c r="D314" t="inlineStr">
        <is>
          <t>7. 수도비</t>
        </is>
      </c>
      <c r="E314" t="inlineStr">
        <is>
          <t>배액률</t>
        </is>
      </c>
      <c r="F314" s="11" t="n">
        <v>0.3</v>
      </c>
      <c r="G314" t="inlineStr">
        <is>
          <t>%</t>
        </is>
      </c>
    </row>
    <row r="315">
      <c r="A315" t="inlineStr">
        <is>
          <t>S002-바질</t>
        </is>
      </c>
      <c r="B315" t="inlineStr">
        <is>
          <t>부산 해운대 농장</t>
        </is>
      </c>
      <c r="C315" t="inlineStr">
        <is>
          <t>바질</t>
        </is>
      </c>
      <c r="D315" t="inlineStr">
        <is>
          <t>7. 수도비</t>
        </is>
      </c>
      <c r="E315" t="inlineStr">
        <is>
          <t>월 작물 순소비량</t>
        </is>
      </c>
      <c r="F315" s="10" t="n">
        <v>4.306087499999999</v>
      </c>
      <c r="G315" t="inlineStr">
        <is>
          <t>m³</t>
        </is>
      </c>
    </row>
    <row r="316">
      <c r="A316" t="inlineStr">
        <is>
          <t>S002-바질</t>
        </is>
      </c>
      <c r="B316" t="inlineStr">
        <is>
          <t>부산 해운대 농장</t>
        </is>
      </c>
      <c r="C316" t="inlineStr">
        <is>
          <t>바질</t>
        </is>
      </c>
      <c r="D316" t="inlineStr">
        <is>
          <t>7. 수도비</t>
        </is>
      </c>
      <c r="E316" t="inlineStr">
        <is>
          <t>월 배액량</t>
        </is>
      </c>
      <c r="F316" s="10" t="n">
        <v>1.845466071428572</v>
      </c>
      <c r="G316" t="inlineStr">
        <is>
          <t>m³</t>
        </is>
      </c>
    </row>
    <row r="317">
      <c r="A317" t="inlineStr">
        <is>
          <t>S002-바질</t>
        </is>
      </c>
      <c r="B317" t="inlineStr">
        <is>
          <t>부산 해운대 농장</t>
        </is>
      </c>
      <c r="C317" t="inlineStr">
        <is>
          <t>바질</t>
        </is>
      </c>
      <c r="D317" t="inlineStr">
        <is>
          <t>7. 수도비</t>
        </is>
      </c>
      <c r="E317" t="inlineStr">
        <is>
          <t>월 작물 관수량</t>
        </is>
      </c>
      <c r="F317" s="10" t="n">
        <v>6.151553571428572</v>
      </c>
      <c r="G317" t="inlineStr">
        <is>
          <t>m³</t>
        </is>
      </c>
    </row>
    <row r="318">
      <c r="A318" t="inlineStr">
        <is>
          <t>S002-바질</t>
        </is>
      </c>
      <c r="B318" t="inlineStr">
        <is>
          <t>부산 해운대 농장</t>
        </is>
      </c>
      <c r="C318" t="inlineStr">
        <is>
          <t>바질</t>
        </is>
      </c>
      <c r="D318" t="inlineStr">
        <is>
          <t>7. 수도비</t>
        </is>
      </c>
      <c r="E318" t="inlineStr">
        <is>
          <t>월 기타 용수량</t>
        </is>
      </c>
      <c r="F318" s="10" t="n">
        <v>0.4015000000000001</v>
      </c>
      <c r="G318" t="inlineStr">
        <is>
          <t>m³</t>
        </is>
      </c>
    </row>
    <row r="319">
      <c r="A319" t="inlineStr">
        <is>
          <t>S002-바질</t>
        </is>
      </c>
      <c r="B319" t="inlineStr">
        <is>
          <t>부산 해운대 농장</t>
        </is>
      </c>
      <c r="C319" t="inlineStr">
        <is>
          <t>바질</t>
        </is>
      </c>
      <c r="D319" t="inlineStr">
        <is>
          <t>7. 수도비</t>
        </is>
      </c>
      <c r="E319" t="inlineStr">
        <is>
          <t>월 총 용수량</t>
        </is>
      </c>
      <c r="F319" s="10" t="n">
        <v>6.553053571428571</v>
      </c>
      <c r="G319" t="inlineStr">
        <is>
          <t>m³</t>
        </is>
      </c>
    </row>
    <row r="320">
      <c r="A320" t="inlineStr">
        <is>
          <t>S002-바질</t>
        </is>
      </c>
      <c r="B320" t="inlineStr">
        <is>
          <t>부산 해운대 농장</t>
        </is>
      </c>
      <c r="C320" t="inlineStr">
        <is>
          <t>바질</t>
        </is>
      </c>
      <c r="D320" t="inlineStr">
        <is>
          <t>7. 수도비</t>
        </is>
      </c>
      <c r="E320" t="inlineStr">
        <is>
          <t>월 수도비</t>
        </is>
      </c>
      <c r="F320" s="8" t="n">
        <v>15072.02321428571</v>
      </c>
      <c r="G320" t="inlineStr">
        <is>
          <t>원</t>
        </is>
      </c>
    </row>
    <row r="321">
      <c r="A321" t="inlineStr">
        <is>
          <t>S002-바질</t>
        </is>
      </c>
      <c r="B321" t="inlineStr">
        <is>
          <t>부산 해운대 농장</t>
        </is>
      </c>
      <c r="C321" t="inlineStr">
        <is>
          <t>바질</t>
        </is>
      </c>
      <c r="D321" t="inlineStr">
        <is>
          <t>8. 재료비</t>
        </is>
      </c>
      <c r="E321" t="inlineStr">
        <is>
          <t>면적당 월 환산 모종비</t>
        </is>
      </c>
      <c r="F321" s="8" t="n">
        <v>5000</v>
      </c>
      <c r="G321" t="inlineStr">
        <is>
          <t>원/m²/month</t>
        </is>
      </c>
    </row>
    <row r="322">
      <c r="A322" t="inlineStr">
        <is>
          <t>S002-바질</t>
        </is>
      </c>
      <c r="B322" t="inlineStr">
        <is>
          <t>부산 해운대 농장</t>
        </is>
      </c>
      <c r="C322" t="inlineStr">
        <is>
          <t>바질</t>
        </is>
      </c>
      <c r="D322" t="inlineStr">
        <is>
          <t>8. 재료비</t>
        </is>
      </c>
      <c r="E322" t="inlineStr">
        <is>
          <t>월 모종비</t>
        </is>
      </c>
      <c r="F322" s="8" t="n">
        <v>643500</v>
      </c>
      <c r="G322" t="inlineStr">
        <is>
          <t>원</t>
        </is>
      </c>
    </row>
    <row r="323">
      <c r="A323" t="inlineStr">
        <is>
          <t>S002-바질</t>
        </is>
      </c>
      <c r="B323" t="inlineStr">
        <is>
          <t>부산 해운대 농장</t>
        </is>
      </c>
      <c r="C323" t="inlineStr">
        <is>
          <t>바질</t>
        </is>
      </c>
      <c r="D323" t="inlineStr">
        <is>
          <t>8. 재료비</t>
        </is>
      </c>
      <c r="E323" t="inlineStr">
        <is>
          <t>월 양액 사용량</t>
        </is>
      </c>
      <c r="F323" s="10" t="n">
        <v>6.151553571428572</v>
      </c>
      <c r="G323" t="inlineStr">
        <is>
          <t>m³</t>
        </is>
      </c>
    </row>
    <row r="324">
      <c r="A324" t="inlineStr">
        <is>
          <t>S002-바질</t>
        </is>
      </c>
      <c r="B324" t="inlineStr">
        <is>
          <t>부산 해운대 농장</t>
        </is>
      </c>
      <c r="C324" t="inlineStr">
        <is>
          <t>바질</t>
        </is>
      </c>
      <c r="D324" t="inlineStr">
        <is>
          <t>8. 재료비</t>
        </is>
      </c>
      <c r="E324" t="inlineStr">
        <is>
          <t>월 양액비</t>
        </is>
      </c>
      <c r="F324" s="8" t="n">
        <v>123031.0714285714</v>
      </c>
      <c r="G324" t="inlineStr">
        <is>
          <t>원</t>
        </is>
      </c>
    </row>
    <row r="325">
      <c r="A325" t="inlineStr">
        <is>
          <t>S002-바질</t>
        </is>
      </c>
      <c r="B325" t="inlineStr">
        <is>
          <t>부산 해운대 농장</t>
        </is>
      </c>
      <c r="C325" t="inlineStr">
        <is>
          <t>바질</t>
        </is>
      </c>
      <c r="D325" t="inlineStr">
        <is>
          <t>8. 재료비</t>
        </is>
      </c>
      <c r="E325" t="inlineStr">
        <is>
          <t>월 재료비</t>
        </is>
      </c>
      <c r="F325" s="8" t="n">
        <v>766531.0714285715</v>
      </c>
      <c r="G325" t="inlineStr">
        <is>
          <t>원</t>
        </is>
      </c>
    </row>
    <row r="326">
      <c r="A326" t="inlineStr">
        <is>
          <t>S002-바질</t>
        </is>
      </c>
      <c r="B326" t="inlineStr">
        <is>
          <t>부산 해운대 농장</t>
        </is>
      </c>
      <c r="C326" t="inlineStr">
        <is>
          <t>바질</t>
        </is>
      </c>
      <c r="D326" t="inlineStr">
        <is>
          <t>9. 인건비</t>
        </is>
      </c>
      <c r="E326" t="inlineStr">
        <is>
          <t>월 노동시간</t>
        </is>
      </c>
      <c r="F326" s="10" t="n">
        <v>154.44</v>
      </c>
      <c r="G326" t="inlineStr">
        <is>
          <t>시간</t>
        </is>
      </c>
    </row>
    <row r="327">
      <c r="A327" t="inlineStr">
        <is>
          <t>S002-바질</t>
        </is>
      </c>
      <c r="B327" t="inlineStr">
        <is>
          <t>부산 해운대 농장</t>
        </is>
      </c>
      <c r="C327" t="inlineStr">
        <is>
          <t>바질</t>
        </is>
      </c>
      <c r="D327" t="inlineStr">
        <is>
          <t>9. 인건비</t>
        </is>
      </c>
      <c r="E327" t="inlineStr">
        <is>
          <t>월 인건비</t>
        </is>
      </c>
      <c r="F327" s="8" t="n">
        <v>1593820.8</v>
      </c>
      <c r="G327" t="inlineStr">
        <is>
          <t>원</t>
        </is>
      </c>
    </row>
    <row r="328">
      <c r="A328" t="inlineStr">
        <is>
          <t>S002-바질</t>
        </is>
      </c>
      <c r="B328" t="inlineStr">
        <is>
          <t>부산 해운대 농장</t>
        </is>
      </c>
      <c r="C328" t="inlineStr">
        <is>
          <t>바질</t>
        </is>
      </c>
      <c r="D328" t="inlineStr">
        <is>
          <t>10. 수익</t>
        </is>
      </c>
      <c r="E328" t="inlineStr">
        <is>
          <t>기기 대여비 적용면적</t>
        </is>
      </c>
      <c r="F328" s="10" t="n">
        <v>42.9</v>
      </c>
      <c r="G328" t="inlineStr">
        <is>
          <t>m²</t>
        </is>
      </c>
    </row>
    <row r="329">
      <c r="A329" t="inlineStr">
        <is>
          <t>S002-바질</t>
        </is>
      </c>
      <c r="B329" t="inlineStr">
        <is>
          <t>부산 해운대 농장</t>
        </is>
      </c>
      <c r="C329" t="inlineStr">
        <is>
          <t>바질</t>
        </is>
      </c>
      <c r="D329" t="inlineStr">
        <is>
          <t>10. 수익</t>
        </is>
      </c>
      <c r="E329" t="inlineStr">
        <is>
          <t>면적당 월 기기 대여비</t>
        </is>
      </c>
      <c r="F329" s="8" t="n">
        <v>22000</v>
      </c>
      <c r="G329" t="inlineStr">
        <is>
          <t>원/m²/month</t>
        </is>
      </c>
    </row>
    <row r="330">
      <c r="A330" t="inlineStr">
        <is>
          <t>S002-바질</t>
        </is>
      </c>
      <c r="B330" t="inlineStr">
        <is>
          <t>부산 해운대 농장</t>
        </is>
      </c>
      <c r="C330" t="inlineStr">
        <is>
          <t>바질</t>
        </is>
      </c>
      <c r="D330" t="inlineStr">
        <is>
          <t>10. 수익</t>
        </is>
      </c>
      <c r="E330" t="inlineStr">
        <is>
          <t>월 기기 대여비</t>
        </is>
      </c>
      <c r="F330" s="8" t="n">
        <v>943800</v>
      </c>
      <c r="G330" t="inlineStr">
        <is>
          <t>원</t>
        </is>
      </c>
    </row>
    <row r="331">
      <c r="A331" t="inlineStr">
        <is>
          <t>S002-바질</t>
        </is>
      </c>
      <c r="B331" t="inlineStr">
        <is>
          <t>부산 해운대 농장</t>
        </is>
      </c>
      <c r="C331" t="inlineStr">
        <is>
          <t>바질</t>
        </is>
      </c>
      <c r="D331" t="inlineStr">
        <is>
          <t>10. 수익</t>
        </is>
      </c>
      <c r="E331" t="inlineStr">
        <is>
          <t>월 운영비</t>
        </is>
      </c>
      <c r="F331" s="8" t="n">
        <v>4888134.703928767</v>
      </c>
      <c r="G331" t="inlineStr">
        <is>
          <t>원</t>
        </is>
      </c>
    </row>
    <row r="332">
      <c r="A332" t="inlineStr">
        <is>
          <t>S002-바질</t>
        </is>
      </c>
      <c r="B332" t="inlineStr">
        <is>
          <t>부산 해운대 농장</t>
        </is>
      </c>
      <c r="C332" t="inlineStr">
        <is>
          <t>바질</t>
        </is>
      </c>
      <c r="D332" t="inlineStr">
        <is>
          <t>10. 수익</t>
        </is>
      </c>
      <c r="E332" t="inlineStr">
        <is>
          <t>월 영업이익</t>
        </is>
      </c>
      <c r="F332" s="8" t="n">
        <v>2061665.296071234</v>
      </c>
      <c r="G332" t="inlineStr">
        <is>
          <t>원</t>
        </is>
      </c>
    </row>
    <row r="333">
      <c r="A333" t="inlineStr">
        <is>
          <t>S002-바질</t>
        </is>
      </c>
      <c r="B333" t="inlineStr">
        <is>
          <t>부산 해운대 농장</t>
        </is>
      </c>
      <c r="C333" t="inlineStr">
        <is>
          <t>바질</t>
        </is>
      </c>
      <c r="D333" t="inlineStr">
        <is>
          <t>10. 수익</t>
        </is>
      </c>
      <c r="E333" t="inlineStr">
        <is>
          <t>공간 대여자 예상수익</t>
        </is>
      </c>
      <c r="F333" s="8" t="n">
        <v>1649332.236856987</v>
      </c>
      <c r="G333" t="inlineStr">
        <is>
          <t>원</t>
        </is>
      </c>
    </row>
    <row r="334">
      <c r="A334" t="inlineStr">
        <is>
          <t>S002-바질</t>
        </is>
      </c>
      <c r="B334" t="inlineStr">
        <is>
          <t>부산 해운대 농장</t>
        </is>
      </c>
      <c r="C334" t="inlineStr">
        <is>
          <t>바질</t>
        </is>
      </c>
      <c r="D334" t="inlineStr">
        <is>
          <t>10. 수익</t>
        </is>
      </c>
      <c r="E334" t="inlineStr">
        <is>
          <t>원하는 월세</t>
        </is>
      </c>
      <c r="F334" s="8" t="n">
        <v>800000</v>
      </c>
      <c r="G334" t="inlineStr">
        <is>
          <t>원</t>
        </is>
      </c>
    </row>
    <row r="335">
      <c r="A335" t="inlineStr">
        <is>
          <t>S002-바질</t>
        </is>
      </c>
      <c r="B335" t="inlineStr">
        <is>
          <t>부산 해운대 농장</t>
        </is>
      </c>
      <c r="C335" t="inlineStr">
        <is>
          <t>바질</t>
        </is>
      </c>
      <c r="D335" t="inlineStr">
        <is>
          <t>10. 수익</t>
        </is>
      </c>
      <c r="E335" t="inlineStr">
        <is>
          <t>공실 월세 대비 차이</t>
        </is>
      </c>
      <c r="F335" s="8" t="n">
        <v>849332.2368569875</v>
      </c>
      <c r="G335" t="inlineStr">
        <is>
          <t>원</t>
        </is>
      </c>
    </row>
    <row r="336">
      <c r="A336" t="inlineStr">
        <is>
          <t>S002-바질</t>
        </is>
      </c>
      <c r="B336" t="inlineStr">
        <is>
          <t>부산 해운대 농장</t>
        </is>
      </c>
      <c r="C336" t="inlineStr">
        <is>
          <t>바질</t>
        </is>
      </c>
      <c r="D336" t="inlineStr">
        <is>
          <t>10. 수익</t>
        </is>
      </c>
      <c r="E336" t="inlineStr">
        <is>
          <t>사업장 영업이익</t>
        </is>
      </c>
      <c r="F336" s="8" t="n">
        <v>412333.0592142467</v>
      </c>
      <c r="G336" t="inlineStr">
        <is>
          <t>원</t>
        </is>
      </c>
    </row>
    <row r="337">
      <c r="A337" t="inlineStr">
        <is>
          <t>S002-애플민트</t>
        </is>
      </c>
      <c r="B337" t="inlineStr">
        <is>
          <t>부산 해운대 농장</t>
        </is>
      </c>
      <c r="C337" t="inlineStr">
        <is>
          <t>애플민트</t>
        </is>
      </c>
      <c r="D337" t="inlineStr">
        <is>
          <t>1. 공간</t>
        </is>
      </c>
      <c r="E337" t="inlineStr">
        <is>
          <t>공실 전체면적</t>
        </is>
      </c>
      <c r="F337" s="10" t="n">
        <v>66</v>
      </c>
      <c r="G337" t="inlineStr">
        <is>
          <t>m²</t>
        </is>
      </c>
    </row>
    <row r="338">
      <c r="A338" t="inlineStr">
        <is>
          <t>S002-애플민트</t>
        </is>
      </c>
      <c r="B338" t="inlineStr">
        <is>
          <t>부산 해운대 농장</t>
        </is>
      </c>
      <c r="C338" t="inlineStr">
        <is>
          <t>애플민트</t>
        </is>
      </c>
      <c r="D338" t="inlineStr">
        <is>
          <t>1. 공간</t>
        </is>
      </c>
      <c r="E338" t="inlineStr">
        <is>
          <t>사용가능 바닥면적</t>
        </is>
      </c>
      <c r="F338" s="10" t="n">
        <v>42.9</v>
      </c>
      <c r="G338" t="inlineStr">
        <is>
          <t>m²</t>
        </is>
      </c>
    </row>
    <row r="339">
      <c r="A339" t="inlineStr">
        <is>
          <t>S002-애플민트</t>
        </is>
      </c>
      <c r="B339" t="inlineStr">
        <is>
          <t>부산 해운대 농장</t>
        </is>
      </c>
      <c r="C339" t="inlineStr">
        <is>
          <t>애플민트</t>
        </is>
      </c>
      <c r="D339" t="inlineStr">
        <is>
          <t>1. 공간</t>
        </is>
      </c>
      <c r="E339" t="inlineStr">
        <is>
          <t>작물별 모듈 층 수</t>
        </is>
      </c>
      <c r="F339" s="8" t="n">
        <v>4</v>
      </c>
      <c r="G339" t="inlineStr">
        <is>
          <t>층</t>
        </is>
      </c>
    </row>
    <row r="340">
      <c r="A340" t="inlineStr">
        <is>
          <t>S002-애플민트</t>
        </is>
      </c>
      <c r="B340" t="inlineStr">
        <is>
          <t>부산 해운대 농장</t>
        </is>
      </c>
      <c r="C340" t="inlineStr">
        <is>
          <t>애플민트</t>
        </is>
      </c>
      <c r="D340" t="inlineStr">
        <is>
          <t>1. 공간</t>
        </is>
      </c>
      <c r="E340" t="inlineStr">
        <is>
          <t>재배면적</t>
        </is>
      </c>
      <c r="F340" s="10" t="n">
        <v>171.6</v>
      </c>
      <c r="G340" t="inlineStr">
        <is>
          <t>m²</t>
        </is>
      </c>
    </row>
    <row r="341">
      <c r="A341" t="inlineStr">
        <is>
          <t>S002-애플민트</t>
        </is>
      </c>
      <c r="B341" t="inlineStr">
        <is>
          <t>부산 해운대 농장</t>
        </is>
      </c>
      <c r="C341" t="inlineStr">
        <is>
          <t>애플민트</t>
        </is>
      </c>
      <c r="D341" t="inlineStr">
        <is>
          <t>1. 공간</t>
        </is>
      </c>
      <c r="E341" t="inlineStr">
        <is>
          <t>공간 체적</t>
        </is>
      </c>
      <c r="F341" s="10" t="n">
        <v>165</v>
      </c>
      <c r="G341" t="inlineStr">
        <is>
          <t>m³</t>
        </is>
      </c>
    </row>
    <row r="342">
      <c r="A342" t="inlineStr">
        <is>
          <t>S002-애플민트</t>
        </is>
      </c>
      <c r="B342" t="inlineStr">
        <is>
          <t>부산 해운대 농장</t>
        </is>
      </c>
      <c r="C342" t="inlineStr">
        <is>
          <t>애플민트</t>
        </is>
      </c>
      <c r="D342" t="inlineStr">
        <is>
          <t>2. 생산</t>
        </is>
      </c>
      <c r="E342" t="inlineStr">
        <is>
          <t>월 총생산량</t>
        </is>
      </c>
      <c r="F342" s="10" t="n">
        <v>233.376</v>
      </c>
      <c r="G342" t="inlineStr">
        <is>
          <t>kg</t>
        </is>
      </c>
    </row>
    <row r="343">
      <c r="A343" t="inlineStr">
        <is>
          <t>S002-애플민트</t>
        </is>
      </c>
      <c r="B343" t="inlineStr">
        <is>
          <t>부산 해운대 농장</t>
        </is>
      </c>
      <c r="C343" t="inlineStr">
        <is>
          <t>애플민트</t>
        </is>
      </c>
      <c r="D343" t="inlineStr">
        <is>
          <t>2. 생산</t>
        </is>
      </c>
      <c r="E343" t="inlineStr">
        <is>
          <t>월 판매량</t>
        </is>
      </c>
      <c r="F343" s="10" t="n">
        <v>210.0384</v>
      </c>
      <c r="G343" t="inlineStr">
        <is>
          <t>kg</t>
        </is>
      </c>
    </row>
    <row r="344">
      <c r="A344" t="inlineStr">
        <is>
          <t>S002-애플민트</t>
        </is>
      </c>
      <c r="B344" t="inlineStr">
        <is>
          <t>부산 해운대 농장</t>
        </is>
      </c>
      <c r="C344" t="inlineStr">
        <is>
          <t>애플민트</t>
        </is>
      </c>
      <c r="D344" t="inlineStr">
        <is>
          <t>3. 매출</t>
        </is>
      </c>
      <c r="E344" t="inlineStr">
        <is>
          <t>판매가격</t>
        </is>
      </c>
      <c r="F344" s="8" t="n">
        <v>60000</v>
      </c>
      <c r="G344" t="inlineStr">
        <is>
          <t>원/kg</t>
        </is>
      </c>
    </row>
    <row r="345">
      <c r="A345" t="inlineStr">
        <is>
          <t>S002-애플민트</t>
        </is>
      </c>
      <c r="B345" t="inlineStr">
        <is>
          <t>부산 해운대 농장</t>
        </is>
      </c>
      <c r="C345" t="inlineStr">
        <is>
          <t>애플민트</t>
        </is>
      </c>
      <c r="D345" t="inlineStr">
        <is>
          <t>3. 매출</t>
        </is>
      </c>
      <c r="E345" t="inlineStr">
        <is>
          <t>월 매출</t>
        </is>
      </c>
      <c r="F345" s="8" t="n">
        <v>12602304</v>
      </c>
      <c r="G345" t="inlineStr">
        <is>
          <t>원</t>
        </is>
      </c>
    </row>
    <row r="346">
      <c r="A346" t="inlineStr">
        <is>
          <t>S002-애플민트</t>
        </is>
      </c>
      <c r="B346" t="inlineStr">
        <is>
          <t>부산 해운대 농장</t>
        </is>
      </c>
      <c r="C346" t="inlineStr">
        <is>
          <t>애플민트</t>
        </is>
      </c>
      <c r="D346" t="inlineStr">
        <is>
          <t>4. 조명·냉난방</t>
        </is>
      </c>
      <c r="E346" t="inlineStr">
        <is>
          <t>필요 조명전력</t>
        </is>
      </c>
      <c r="F346" s="10" t="n">
        <v>10418.57142857143</v>
      </c>
      <c r="G346" t="inlineStr">
        <is>
          <t>W</t>
        </is>
      </c>
    </row>
    <row r="347">
      <c r="A347" t="inlineStr">
        <is>
          <t>S002-애플민트</t>
        </is>
      </c>
      <c r="B347" t="inlineStr">
        <is>
          <t>부산 해운대 농장</t>
        </is>
      </c>
      <c r="C347" t="inlineStr">
        <is>
          <t>애플민트</t>
        </is>
      </c>
      <c r="D347" t="inlineStr">
        <is>
          <t>4. 조명·냉난방</t>
        </is>
      </c>
      <c r="E347" t="inlineStr">
        <is>
          <t>월 조명전력량</t>
        </is>
      </c>
      <c r="F347" s="10" t="n">
        <v>3802.778571428572</v>
      </c>
      <c r="G347" t="inlineStr">
        <is>
          <t>kWh</t>
        </is>
      </c>
    </row>
    <row r="348">
      <c r="A348" t="inlineStr">
        <is>
          <t>S002-애플민트</t>
        </is>
      </c>
      <c r="B348" t="inlineStr">
        <is>
          <t>부산 해운대 농장</t>
        </is>
      </c>
      <c r="C348" t="inlineStr">
        <is>
          <t>애플민트</t>
        </is>
      </c>
      <c r="D348" t="inlineStr">
        <is>
          <t>5. 습도</t>
        </is>
      </c>
      <c r="E348" t="inlineStr">
        <is>
          <t>월 증발산량</t>
        </is>
      </c>
      <c r="F348" s="10" t="n">
        <v>11482.9</v>
      </c>
      <c r="G348" t="inlineStr">
        <is>
          <t>kg</t>
        </is>
      </c>
    </row>
    <row r="349">
      <c r="A349" t="inlineStr">
        <is>
          <t>S002-애플민트</t>
        </is>
      </c>
      <c r="B349" t="inlineStr">
        <is>
          <t>부산 해운대 농장</t>
        </is>
      </c>
      <c r="C349" t="inlineStr">
        <is>
          <t>애플민트</t>
        </is>
      </c>
      <c r="D349" t="inlineStr">
        <is>
          <t>6. 전기비</t>
        </is>
      </c>
      <c r="E349" t="inlineStr">
        <is>
          <t>월평균 총 전력량</t>
        </is>
      </c>
      <c r="F349" s="10" t="n">
        <v>9869.283521846342</v>
      </c>
      <c r="G349" t="inlineStr">
        <is>
          <t>kWh</t>
        </is>
      </c>
    </row>
    <row r="350">
      <c r="A350" t="inlineStr">
        <is>
          <t>S002-애플민트</t>
        </is>
      </c>
      <c r="B350" t="inlineStr">
        <is>
          <t>부산 해운대 농장</t>
        </is>
      </c>
      <c r="C350" t="inlineStr">
        <is>
          <t>애플민트</t>
        </is>
      </c>
      <c r="D350" t="inlineStr">
        <is>
          <t>6. 전기비</t>
        </is>
      </c>
      <c r="E350" t="inlineStr">
        <is>
          <t>월 전기비</t>
        </is>
      </c>
      <c r="F350" s="8" t="n">
        <v>1529738.945886183</v>
      </c>
      <c r="G350" t="inlineStr">
        <is>
          <t>원</t>
        </is>
      </c>
    </row>
    <row r="351">
      <c r="A351" t="inlineStr">
        <is>
          <t>S002-애플민트</t>
        </is>
      </c>
      <c r="B351" t="inlineStr">
        <is>
          <t>부산 해운대 농장</t>
        </is>
      </c>
      <c r="C351" t="inlineStr">
        <is>
          <t>애플민트</t>
        </is>
      </c>
      <c r="D351" t="inlineStr">
        <is>
          <t>7. 수도비</t>
        </is>
      </c>
      <c r="E351" t="inlineStr">
        <is>
          <t>배액률</t>
        </is>
      </c>
      <c r="F351" s="11" t="n">
        <v>0.3</v>
      </c>
      <c r="G351" t="inlineStr">
        <is>
          <t>%</t>
        </is>
      </c>
    </row>
    <row r="352">
      <c r="A352" t="inlineStr">
        <is>
          <t>S002-애플민트</t>
        </is>
      </c>
      <c r="B352" t="inlineStr">
        <is>
          <t>부산 해운대 농장</t>
        </is>
      </c>
      <c r="C352" t="inlineStr">
        <is>
          <t>애플민트</t>
        </is>
      </c>
      <c r="D352" t="inlineStr">
        <is>
          <t>7. 수도비</t>
        </is>
      </c>
      <c r="E352" t="inlineStr">
        <is>
          <t>월 작물 순소비량</t>
        </is>
      </c>
      <c r="F352" s="10" t="n">
        <v>11.4829</v>
      </c>
      <c r="G352" t="inlineStr">
        <is>
          <t>m³</t>
        </is>
      </c>
    </row>
    <row r="353">
      <c r="A353" t="inlineStr">
        <is>
          <t>S002-애플민트</t>
        </is>
      </c>
      <c r="B353" t="inlineStr">
        <is>
          <t>부산 해운대 농장</t>
        </is>
      </c>
      <c r="C353" t="inlineStr">
        <is>
          <t>애플민트</t>
        </is>
      </c>
      <c r="D353" t="inlineStr">
        <is>
          <t>7. 수도비</t>
        </is>
      </c>
      <c r="E353" t="inlineStr">
        <is>
          <t>월 배액량</t>
        </is>
      </c>
      <c r="F353" s="10" t="n">
        <v>4.921242857142857</v>
      </c>
      <c r="G353" t="inlineStr">
        <is>
          <t>m³</t>
        </is>
      </c>
    </row>
    <row r="354">
      <c r="A354" t="inlineStr">
        <is>
          <t>S002-애플민트</t>
        </is>
      </c>
      <c r="B354" t="inlineStr">
        <is>
          <t>부산 해운대 농장</t>
        </is>
      </c>
      <c r="C354" t="inlineStr">
        <is>
          <t>애플민트</t>
        </is>
      </c>
      <c r="D354" t="inlineStr">
        <is>
          <t>7. 수도비</t>
        </is>
      </c>
      <c r="E354" t="inlineStr">
        <is>
          <t>월 작물 관수량</t>
        </is>
      </c>
      <c r="F354" s="10" t="n">
        <v>16.40414285714286</v>
      </c>
      <c r="G354" t="inlineStr">
        <is>
          <t>m³</t>
        </is>
      </c>
    </row>
    <row r="355">
      <c r="A355" t="inlineStr">
        <is>
          <t>S002-애플민트</t>
        </is>
      </c>
      <c r="B355" t="inlineStr">
        <is>
          <t>부산 해운대 농장</t>
        </is>
      </c>
      <c r="C355" t="inlineStr">
        <is>
          <t>애플민트</t>
        </is>
      </c>
      <c r="D355" t="inlineStr">
        <is>
          <t>7. 수도비</t>
        </is>
      </c>
      <c r="E355" t="inlineStr">
        <is>
          <t>월 기타 용수량</t>
        </is>
      </c>
      <c r="F355" s="10" t="n">
        <v>0.4015000000000001</v>
      </c>
      <c r="G355" t="inlineStr">
        <is>
          <t>m³</t>
        </is>
      </c>
    </row>
    <row r="356">
      <c r="A356" t="inlineStr">
        <is>
          <t>S002-애플민트</t>
        </is>
      </c>
      <c r="B356" t="inlineStr">
        <is>
          <t>부산 해운대 농장</t>
        </is>
      </c>
      <c r="C356" t="inlineStr">
        <is>
          <t>애플민트</t>
        </is>
      </c>
      <c r="D356" t="inlineStr">
        <is>
          <t>7. 수도비</t>
        </is>
      </c>
      <c r="E356" t="inlineStr">
        <is>
          <t>월 총 용수량</t>
        </is>
      </c>
      <c r="F356" s="10" t="n">
        <v>16.80564285714286</v>
      </c>
      <c r="G356" t="inlineStr">
        <is>
          <t>m³</t>
        </is>
      </c>
    </row>
    <row r="357">
      <c r="A357" t="inlineStr">
        <is>
          <t>S002-애플민트</t>
        </is>
      </c>
      <c r="B357" t="inlineStr">
        <is>
          <t>부산 해운대 농장</t>
        </is>
      </c>
      <c r="C357" t="inlineStr">
        <is>
          <t>애플민트</t>
        </is>
      </c>
      <c r="D357" t="inlineStr">
        <is>
          <t>7. 수도비</t>
        </is>
      </c>
      <c r="E357" t="inlineStr">
        <is>
          <t>월 수도비</t>
        </is>
      </c>
      <c r="F357" s="8" t="n">
        <v>38652.97857142858</v>
      </c>
      <c r="G357" t="inlineStr">
        <is>
          <t>원</t>
        </is>
      </c>
    </row>
    <row r="358">
      <c r="A358" t="inlineStr">
        <is>
          <t>S002-애플민트</t>
        </is>
      </c>
      <c r="B358" t="inlineStr">
        <is>
          <t>부산 해운대 농장</t>
        </is>
      </c>
      <c r="C358" t="inlineStr">
        <is>
          <t>애플민트</t>
        </is>
      </c>
      <c r="D358" t="inlineStr">
        <is>
          <t>8. 재료비</t>
        </is>
      </c>
      <c r="E358" t="inlineStr">
        <is>
          <t>면적당 월 환산 모종비</t>
        </is>
      </c>
      <c r="F358" s="8" t="n">
        <v>2000</v>
      </c>
      <c r="G358" t="inlineStr">
        <is>
          <t>원/m²/month</t>
        </is>
      </c>
    </row>
    <row r="359">
      <c r="A359" t="inlineStr">
        <is>
          <t>S002-애플민트</t>
        </is>
      </c>
      <c r="B359" t="inlineStr">
        <is>
          <t>부산 해운대 농장</t>
        </is>
      </c>
      <c r="C359" t="inlineStr">
        <is>
          <t>애플민트</t>
        </is>
      </c>
      <c r="D359" t="inlineStr">
        <is>
          <t>8. 재료비</t>
        </is>
      </c>
      <c r="E359" t="inlineStr">
        <is>
          <t>월 모종비</t>
        </is>
      </c>
      <c r="F359" s="8" t="n">
        <v>343200</v>
      </c>
      <c r="G359" t="inlineStr">
        <is>
          <t>원</t>
        </is>
      </c>
    </row>
    <row r="360">
      <c r="A360" t="inlineStr">
        <is>
          <t>S002-애플민트</t>
        </is>
      </c>
      <c r="B360" t="inlineStr">
        <is>
          <t>부산 해운대 농장</t>
        </is>
      </c>
      <c r="C360" t="inlineStr">
        <is>
          <t>애플민트</t>
        </is>
      </c>
      <c r="D360" t="inlineStr">
        <is>
          <t>8. 재료비</t>
        </is>
      </c>
      <c r="E360" t="inlineStr">
        <is>
          <t>월 양액 사용량</t>
        </is>
      </c>
      <c r="F360" s="10" t="n">
        <v>16.40414285714286</v>
      </c>
      <c r="G360" t="inlineStr">
        <is>
          <t>m³</t>
        </is>
      </c>
    </row>
    <row r="361">
      <c r="A361" t="inlineStr">
        <is>
          <t>S002-애플민트</t>
        </is>
      </c>
      <c r="B361" t="inlineStr">
        <is>
          <t>부산 해운대 농장</t>
        </is>
      </c>
      <c r="C361" t="inlineStr">
        <is>
          <t>애플민트</t>
        </is>
      </c>
      <c r="D361" t="inlineStr">
        <is>
          <t>8. 재료비</t>
        </is>
      </c>
      <c r="E361" t="inlineStr">
        <is>
          <t>월 양액비</t>
        </is>
      </c>
      <c r="F361" s="8" t="n">
        <v>328082.8571428572</v>
      </c>
      <c r="G361" t="inlineStr">
        <is>
          <t>원</t>
        </is>
      </c>
    </row>
    <row r="362">
      <c r="A362" t="inlineStr">
        <is>
          <t>S002-애플민트</t>
        </is>
      </c>
      <c r="B362" t="inlineStr">
        <is>
          <t>부산 해운대 농장</t>
        </is>
      </c>
      <c r="C362" t="inlineStr">
        <is>
          <t>애플민트</t>
        </is>
      </c>
      <c r="D362" t="inlineStr">
        <is>
          <t>8. 재료비</t>
        </is>
      </c>
      <c r="E362" t="inlineStr">
        <is>
          <t>월 재료비</t>
        </is>
      </c>
      <c r="F362" s="8" t="n">
        <v>671282.8571428572</v>
      </c>
      <c r="G362" t="inlineStr">
        <is>
          <t>원</t>
        </is>
      </c>
    </row>
    <row r="363">
      <c r="A363" t="inlineStr">
        <is>
          <t>S002-애플민트</t>
        </is>
      </c>
      <c r="B363" t="inlineStr">
        <is>
          <t>부산 해운대 농장</t>
        </is>
      </c>
      <c r="C363" t="inlineStr">
        <is>
          <t>애플민트</t>
        </is>
      </c>
      <c r="D363" t="inlineStr">
        <is>
          <t>9. 인건비</t>
        </is>
      </c>
      <c r="E363" t="inlineStr">
        <is>
          <t>월 노동시간</t>
        </is>
      </c>
      <c r="F363" s="10" t="n">
        <v>116.688</v>
      </c>
      <c r="G363" t="inlineStr">
        <is>
          <t>시간</t>
        </is>
      </c>
    </row>
    <row r="364">
      <c r="A364" t="inlineStr">
        <is>
          <t>S002-애플민트</t>
        </is>
      </c>
      <c r="B364" t="inlineStr">
        <is>
          <t>부산 해운대 농장</t>
        </is>
      </c>
      <c r="C364" t="inlineStr">
        <is>
          <t>애플민트</t>
        </is>
      </c>
      <c r="D364" t="inlineStr">
        <is>
          <t>9. 인건비</t>
        </is>
      </c>
      <c r="E364" t="inlineStr">
        <is>
          <t>월 인건비</t>
        </is>
      </c>
      <c r="F364" s="8" t="n">
        <v>1204220.16</v>
      </c>
      <c r="G364" t="inlineStr">
        <is>
          <t>원</t>
        </is>
      </c>
    </row>
    <row r="365">
      <c r="A365" t="inlineStr">
        <is>
          <t>S002-애플민트</t>
        </is>
      </c>
      <c r="B365" t="inlineStr">
        <is>
          <t>부산 해운대 농장</t>
        </is>
      </c>
      <c r="C365" t="inlineStr">
        <is>
          <t>애플민트</t>
        </is>
      </c>
      <c r="D365" t="inlineStr">
        <is>
          <t>10. 수익</t>
        </is>
      </c>
      <c r="E365" t="inlineStr">
        <is>
          <t>기기 대여비 적용면적</t>
        </is>
      </c>
      <c r="F365" s="10" t="n">
        <v>42.9</v>
      </c>
      <c r="G365" t="inlineStr">
        <is>
          <t>m²</t>
        </is>
      </c>
    </row>
    <row r="366">
      <c r="A366" t="inlineStr">
        <is>
          <t>S002-애플민트</t>
        </is>
      </c>
      <c r="B366" t="inlineStr">
        <is>
          <t>부산 해운대 농장</t>
        </is>
      </c>
      <c r="C366" t="inlineStr">
        <is>
          <t>애플민트</t>
        </is>
      </c>
      <c r="D366" t="inlineStr">
        <is>
          <t>10. 수익</t>
        </is>
      </c>
      <c r="E366" t="inlineStr">
        <is>
          <t>면적당 월 기기 대여비</t>
        </is>
      </c>
      <c r="F366" s="8" t="n">
        <v>22000</v>
      </c>
      <c r="G366" t="inlineStr">
        <is>
          <t>원/m²/month</t>
        </is>
      </c>
    </row>
    <row r="367">
      <c r="A367" t="inlineStr">
        <is>
          <t>S002-애플민트</t>
        </is>
      </c>
      <c r="B367" t="inlineStr">
        <is>
          <t>부산 해운대 농장</t>
        </is>
      </c>
      <c r="C367" t="inlineStr">
        <is>
          <t>애플민트</t>
        </is>
      </c>
      <c r="D367" t="inlineStr">
        <is>
          <t>10. 수익</t>
        </is>
      </c>
      <c r="E367" t="inlineStr">
        <is>
          <t>월 기기 대여비</t>
        </is>
      </c>
      <c r="F367" s="8" t="n">
        <v>943800</v>
      </c>
      <c r="G367" t="inlineStr">
        <is>
          <t>원</t>
        </is>
      </c>
    </row>
    <row r="368">
      <c r="A368" t="inlineStr">
        <is>
          <t>S002-애플민트</t>
        </is>
      </c>
      <c r="B368" t="inlineStr">
        <is>
          <t>부산 해운대 농장</t>
        </is>
      </c>
      <c r="C368" t="inlineStr">
        <is>
          <t>애플민트</t>
        </is>
      </c>
      <c r="D368" t="inlineStr">
        <is>
          <t>10. 수익</t>
        </is>
      </c>
      <c r="E368" t="inlineStr">
        <is>
          <t>월 운영비</t>
        </is>
      </c>
      <c r="F368" s="8" t="n">
        <v>4687694.941600469</v>
      </c>
      <c r="G368" t="inlineStr">
        <is>
          <t>원</t>
        </is>
      </c>
    </row>
    <row r="369">
      <c r="A369" t="inlineStr">
        <is>
          <t>S002-애플민트</t>
        </is>
      </c>
      <c r="B369" t="inlineStr">
        <is>
          <t>부산 해운대 농장</t>
        </is>
      </c>
      <c r="C369" t="inlineStr">
        <is>
          <t>애플민트</t>
        </is>
      </c>
      <c r="D369" t="inlineStr">
        <is>
          <t>10. 수익</t>
        </is>
      </c>
      <c r="E369" t="inlineStr">
        <is>
          <t>월 영업이익</t>
        </is>
      </c>
      <c r="F369" s="8" t="n">
        <v>7914609.058399531</v>
      </c>
      <c r="G369" t="inlineStr">
        <is>
          <t>원</t>
        </is>
      </c>
    </row>
    <row r="370">
      <c r="A370" t="inlineStr">
        <is>
          <t>S002-애플민트</t>
        </is>
      </c>
      <c r="B370" t="inlineStr">
        <is>
          <t>부산 해운대 농장</t>
        </is>
      </c>
      <c r="C370" t="inlineStr">
        <is>
          <t>애플민트</t>
        </is>
      </c>
      <c r="D370" t="inlineStr">
        <is>
          <t>10. 수익</t>
        </is>
      </c>
      <c r="E370" t="inlineStr">
        <is>
          <t>공간 대여자 예상수익</t>
        </is>
      </c>
      <c r="F370" s="8" t="n">
        <v>6331687.246719625</v>
      </c>
      <c r="G370" t="inlineStr">
        <is>
          <t>원</t>
        </is>
      </c>
    </row>
    <row r="371">
      <c r="A371" t="inlineStr">
        <is>
          <t>S002-애플민트</t>
        </is>
      </c>
      <c r="B371" t="inlineStr">
        <is>
          <t>부산 해운대 농장</t>
        </is>
      </c>
      <c r="C371" t="inlineStr">
        <is>
          <t>애플민트</t>
        </is>
      </c>
      <c r="D371" t="inlineStr">
        <is>
          <t>10. 수익</t>
        </is>
      </c>
      <c r="E371" t="inlineStr">
        <is>
          <t>원하는 월세</t>
        </is>
      </c>
      <c r="F371" s="8" t="n">
        <v>800000</v>
      </c>
      <c r="G371" t="inlineStr">
        <is>
          <t>원</t>
        </is>
      </c>
    </row>
    <row r="372">
      <c r="A372" t="inlineStr">
        <is>
          <t>S002-애플민트</t>
        </is>
      </c>
      <c r="B372" t="inlineStr">
        <is>
          <t>부산 해운대 농장</t>
        </is>
      </c>
      <c r="C372" t="inlineStr">
        <is>
          <t>애플민트</t>
        </is>
      </c>
      <c r="D372" t="inlineStr">
        <is>
          <t>10. 수익</t>
        </is>
      </c>
      <c r="E372" t="inlineStr">
        <is>
          <t>공실 월세 대비 차이</t>
        </is>
      </c>
      <c r="F372" s="8" t="n">
        <v>5531687.246719625</v>
      </c>
      <c r="G372" t="inlineStr">
        <is>
          <t>원</t>
        </is>
      </c>
    </row>
    <row r="373">
      <c r="A373" t="inlineStr">
        <is>
          <t>S002-애플민트</t>
        </is>
      </c>
      <c r="B373" t="inlineStr">
        <is>
          <t>부산 해운대 농장</t>
        </is>
      </c>
      <c r="C373" t="inlineStr">
        <is>
          <t>애플민트</t>
        </is>
      </c>
      <c r="D373" t="inlineStr">
        <is>
          <t>10. 수익</t>
        </is>
      </c>
      <c r="E373" t="inlineStr">
        <is>
          <t>사업장 영업이익</t>
        </is>
      </c>
      <c r="F373" s="8" t="n">
        <v>1582921.811679906</v>
      </c>
      <c r="G373" t="inlineStr">
        <is>
          <t>원</t>
        </is>
      </c>
    </row>
    <row r="374">
      <c r="A374" t="inlineStr">
        <is>
          <t>S002-쪽파</t>
        </is>
      </c>
      <c r="B374" t="inlineStr">
        <is>
          <t>부산 해운대 농장</t>
        </is>
      </c>
      <c r="C374" t="inlineStr">
        <is>
          <t>쪽파</t>
        </is>
      </c>
      <c r="D374" t="inlineStr">
        <is>
          <t>1. 공간</t>
        </is>
      </c>
      <c r="E374" t="inlineStr">
        <is>
          <t>공실 전체면적</t>
        </is>
      </c>
      <c r="F374" s="10" t="n">
        <v>66</v>
      </c>
      <c r="G374" t="inlineStr">
        <is>
          <t>m²</t>
        </is>
      </c>
    </row>
    <row r="375">
      <c r="A375" t="inlineStr">
        <is>
          <t>S002-쪽파</t>
        </is>
      </c>
      <c r="B375" t="inlineStr">
        <is>
          <t>부산 해운대 농장</t>
        </is>
      </c>
      <c r="C375" t="inlineStr">
        <is>
          <t>쪽파</t>
        </is>
      </c>
      <c r="D375" t="inlineStr">
        <is>
          <t>1. 공간</t>
        </is>
      </c>
      <c r="E375" t="inlineStr">
        <is>
          <t>사용가능 바닥면적</t>
        </is>
      </c>
      <c r="F375" s="10" t="n">
        <v>42.9</v>
      </c>
      <c r="G375" t="inlineStr">
        <is>
          <t>m²</t>
        </is>
      </c>
    </row>
    <row r="376">
      <c r="A376" t="inlineStr">
        <is>
          <t>S002-쪽파</t>
        </is>
      </c>
      <c r="B376" t="inlineStr">
        <is>
          <t>부산 해운대 농장</t>
        </is>
      </c>
      <c r="C376" t="inlineStr">
        <is>
          <t>쪽파</t>
        </is>
      </c>
      <c r="D376" t="inlineStr">
        <is>
          <t>1. 공간</t>
        </is>
      </c>
      <c r="E376" t="inlineStr">
        <is>
          <t>작물별 모듈 층 수</t>
        </is>
      </c>
      <c r="F376" s="8" t="n">
        <v>3</v>
      </c>
      <c r="G376" t="inlineStr">
        <is>
          <t>층</t>
        </is>
      </c>
    </row>
    <row r="377">
      <c r="A377" t="inlineStr">
        <is>
          <t>S002-쪽파</t>
        </is>
      </c>
      <c r="B377" t="inlineStr">
        <is>
          <t>부산 해운대 농장</t>
        </is>
      </c>
      <c r="C377" t="inlineStr">
        <is>
          <t>쪽파</t>
        </is>
      </c>
      <c r="D377" t="inlineStr">
        <is>
          <t>1. 공간</t>
        </is>
      </c>
      <c r="E377" t="inlineStr">
        <is>
          <t>재배면적</t>
        </is>
      </c>
      <c r="F377" s="10" t="n">
        <v>128.7</v>
      </c>
      <c r="G377" t="inlineStr">
        <is>
          <t>m²</t>
        </is>
      </c>
    </row>
    <row r="378">
      <c r="A378" t="inlineStr">
        <is>
          <t>S002-쪽파</t>
        </is>
      </c>
      <c r="B378" t="inlineStr">
        <is>
          <t>부산 해운대 농장</t>
        </is>
      </c>
      <c r="C378" t="inlineStr">
        <is>
          <t>쪽파</t>
        </is>
      </c>
      <c r="D378" t="inlineStr">
        <is>
          <t>1. 공간</t>
        </is>
      </c>
      <c r="E378" t="inlineStr">
        <is>
          <t>공간 체적</t>
        </is>
      </c>
      <c r="F378" s="10" t="n">
        <v>165</v>
      </c>
      <c r="G378" t="inlineStr">
        <is>
          <t>m³</t>
        </is>
      </c>
    </row>
    <row r="379">
      <c r="A379" t="inlineStr">
        <is>
          <t>S002-쪽파</t>
        </is>
      </c>
      <c r="B379" t="inlineStr">
        <is>
          <t>부산 해운대 농장</t>
        </is>
      </c>
      <c r="C379" t="inlineStr">
        <is>
          <t>쪽파</t>
        </is>
      </c>
      <c r="D379" t="inlineStr">
        <is>
          <t>2. 생산</t>
        </is>
      </c>
      <c r="E379" t="inlineStr">
        <is>
          <t>월 총생산량</t>
        </is>
      </c>
      <c r="F379" s="10" t="n">
        <v>257.4</v>
      </c>
      <c r="G379" t="inlineStr">
        <is>
          <t>kg</t>
        </is>
      </c>
    </row>
    <row r="380">
      <c r="A380" t="inlineStr">
        <is>
          <t>S002-쪽파</t>
        </is>
      </c>
      <c r="B380" t="inlineStr">
        <is>
          <t>부산 해운대 농장</t>
        </is>
      </c>
      <c r="C380" t="inlineStr">
        <is>
          <t>쪽파</t>
        </is>
      </c>
      <c r="D380" t="inlineStr">
        <is>
          <t>2. 생산</t>
        </is>
      </c>
      <c r="E380" t="inlineStr">
        <is>
          <t>월 판매량</t>
        </is>
      </c>
      <c r="F380" s="10" t="n">
        <v>231.66</v>
      </c>
      <c r="G380" t="inlineStr">
        <is>
          <t>kg</t>
        </is>
      </c>
    </row>
    <row r="381">
      <c r="A381" t="inlineStr">
        <is>
          <t>S002-쪽파</t>
        </is>
      </c>
      <c r="B381" t="inlineStr">
        <is>
          <t>부산 해운대 농장</t>
        </is>
      </c>
      <c r="C381" t="inlineStr">
        <is>
          <t>쪽파</t>
        </is>
      </c>
      <c r="D381" t="inlineStr">
        <is>
          <t>3. 매출</t>
        </is>
      </c>
      <c r="E381" t="inlineStr">
        <is>
          <t>판매가격</t>
        </is>
      </c>
      <c r="F381" s="8" t="n">
        <v>10000</v>
      </c>
      <c r="G381" t="inlineStr">
        <is>
          <t>원/kg</t>
        </is>
      </c>
    </row>
    <row r="382">
      <c r="A382" t="inlineStr">
        <is>
          <t>S002-쪽파</t>
        </is>
      </c>
      <c r="B382" t="inlineStr">
        <is>
          <t>부산 해운대 농장</t>
        </is>
      </c>
      <c r="C382" t="inlineStr">
        <is>
          <t>쪽파</t>
        </is>
      </c>
      <c r="D382" t="inlineStr">
        <is>
          <t>3. 매출</t>
        </is>
      </c>
      <c r="E382" t="inlineStr">
        <is>
          <t>월 매출</t>
        </is>
      </c>
      <c r="F382" s="8" t="n">
        <v>2316600</v>
      </c>
      <c r="G382" t="inlineStr">
        <is>
          <t>원</t>
        </is>
      </c>
    </row>
    <row r="383">
      <c r="A383" t="inlineStr">
        <is>
          <t>S002-쪽파</t>
        </is>
      </c>
      <c r="B383" t="inlineStr">
        <is>
          <t>부산 해운대 농장</t>
        </is>
      </c>
      <c r="C383" t="inlineStr">
        <is>
          <t>쪽파</t>
        </is>
      </c>
      <c r="D383" t="inlineStr">
        <is>
          <t>4. 조명·냉난방</t>
        </is>
      </c>
      <c r="E383" t="inlineStr">
        <is>
          <t>필요 조명전력</t>
        </is>
      </c>
      <c r="F383" s="10" t="n">
        <v>9192.857142857141</v>
      </c>
      <c r="G383" t="inlineStr">
        <is>
          <t>W</t>
        </is>
      </c>
    </row>
    <row r="384">
      <c r="A384" t="inlineStr">
        <is>
          <t>S002-쪽파</t>
        </is>
      </c>
      <c r="B384" t="inlineStr">
        <is>
          <t>부산 해운대 농장</t>
        </is>
      </c>
      <c r="C384" t="inlineStr">
        <is>
          <t>쪽파</t>
        </is>
      </c>
      <c r="D384" t="inlineStr">
        <is>
          <t>4. 조명·냉난방</t>
        </is>
      </c>
      <c r="E384" t="inlineStr">
        <is>
          <t>월 조명전력량</t>
        </is>
      </c>
      <c r="F384" s="10" t="n">
        <v>4473.857142857143</v>
      </c>
      <c r="G384" t="inlineStr">
        <is>
          <t>kWh</t>
        </is>
      </c>
    </row>
    <row r="385">
      <c r="A385" t="inlineStr">
        <is>
          <t>S002-쪽파</t>
        </is>
      </c>
      <c r="B385" t="inlineStr">
        <is>
          <t>부산 해운대 농장</t>
        </is>
      </c>
      <c r="C385" t="inlineStr">
        <is>
          <t>쪽파</t>
        </is>
      </c>
      <c r="D385" t="inlineStr">
        <is>
          <t>5. 습도</t>
        </is>
      </c>
      <c r="E385" t="inlineStr">
        <is>
          <t>월 증발산량</t>
        </is>
      </c>
      <c r="F385" s="10" t="n">
        <v>11743.875</v>
      </c>
      <c r="G385" t="inlineStr">
        <is>
          <t>kg</t>
        </is>
      </c>
    </row>
    <row r="386">
      <c r="A386" t="inlineStr">
        <is>
          <t>S002-쪽파</t>
        </is>
      </c>
      <c r="B386" t="inlineStr">
        <is>
          <t>부산 해운대 농장</t>
        </is>
      </c>
      <c r="C386" t="inlineStr">
        <is>
          <t>쪽파</t>
        </is>
      </c>
      <c r="D386" t="inlineStr">
        <is>
          <t>6. 전기비</t>
        </is>
      </c>
      <c r="E386" t="inlineStr">
        <is>
          <t>월평균 총 전력량</t>
        </is>
      </c>
      <c r="F386" s="10" t="n">
        <v>10718.09817724492</v>
      </c>
      <c r="G386" t="inlineStr">
        <is>
          <t>kWh</t>
        </is>
      </c>
    </row>
    <row r="387">
      <c r="A387" t="inlineStr">
        <is>
          <t>S002-쪽파</t>
        </is>
      </c>
      <c r="B387" t="inlineStr">
        <is>
          <t>부산 해운대 농장</t>
        </is>
      </c>
      <c r="C387" t="inlineStr">
        <is>
          <t>쪽파</t>
        </is>
      </c>
      <c r="D387" t="inlineStr">
        <is>
          <t>6. 전기비</t>
        </is>
      </c>
      <c r="E387" t="inlineStr">
        <is>
          <t>월 전기비</t>
        </is>
      </c>
      <c r="F387" s="8" t="n">
        <v>1661305.217472963</v>
      </c>
      <c r="G387" t="inlineStr">
        <is>
          <t>원</t>
        </is>
      </c>
    </row>
    <row r="388">
      <c r="A388" t="inlineStr">
        <is>
          <t>S002-쪽파</t>
        </is>
      </c>
      <c r="B388" t="inlineStr">
        <is>
          <t>부산 해운대 농장</t>
        </is>
      </c>
      <c r="C388" t="inlineStr">
        <is>
          <t>쪽파</t>
        </is>
      </c>
      <c r="D388" t="inlineStr">
        <is>
          <t>7. 수도비</t>
        </is>
      </c>
      <c r="E388" t="inlineStr">
        <is>
          <t>배액률</t>
        </is>
      </c>
      <c r="F388" s="11" t="n">
        <v>0.3</v>
      </c>
      <c r="G388" t="inlineStr">
        <is>
          <t>%</t>
        </is>
      </c>
    </row>
    <row r="389">
      <c r="A389" t="inlineStr">
        <is>
          <t>S002-쪽파</t>
        </is>
      </c>
      <c r="B389" t="inlineStr">
        <is>
          <t>부산 해운대 농장</t>
        </is>
      </c>
      <c r="C389" t="inlineStr">
        <is>
          <t>쪽파</t>
        </is>
      </c>
      <c r="D389" t="inlineStr">
        <is>
          <t>7. 수도비</t>
        </is>
      </c>
      <c r="E389" t="inlineStr">
        <is>
          <t>월 작물 순소비량</t>
        </is>
      </c>
      <c r="F389" s="10" t="n">
        <v>11.743875</v>
      </c>
      <c r="G389" t="inlineStr">
        <is>
          <t>m³</t>
        </is>
      </c>
    </row>
    <row r="390">
      <c r="A390" t="inlineStr">
        <is>
          <t>S002-쪽파</t>
        </is>
      </c>
      <c r="B390" t="inlineStr">
        <is>
          <t>부산 해운대 농장</t>
        </is>
      </c>
      <c r="C390" t="inlineStr">
        <is>
          <t>쪽파</t>
        </is>
      </c>
      <c r="D390" t="inlineStr">
        <is>
          <t>7. 수도비</t>
        </is>
      </c>
      <c r="E390" t="inlineStr">
        <is>
          <t>월 배액량</t>
        </is>
      </c>
      <c r="F390" s="10" t="n">
        <v>5.033089285714286</v>
      </c>
      <c r="G390" t="inlineStr">
        <is>
          <t>m³</t>
        </is>
      </c>
    </row>
    <row r="391">
      <c r="A391" t="inlineStr">
        <is>
          <t>S002-쪽파</t>
        </is>
      </c>
      <c r="B391" t="inlineStr">
        <is>
          <t>부산 해운대 농장</t>
        </is>
      </c>
      <c r="C391" t="inlineStr">
        <is>
          <t>쪽파</t>
        </is>
      </c>
      <c r="D391" t="inlineStr">
        <is>
          <t>7. 수도비</t>
        </is>
      </c>
      <c r="E391" t="inlineStr">
        <is>
          <t>월 작물 관수량</t>
        </is>
      </c>
      <c r="F391" s="10" t="n">
        <v>16.77696428571429</v>
      </c>
      <c r="G391" t="inlineStr">
        <is>
          <t>m³</t>
        </is>
      </c>
    </row>
    <row r="392">
      <c r="A392" t="inlineStr">
        <is>
          <t>S002-쪽파</t>
        </is>
      </c>
      <c r="B392" t="inlineStr">
        <is>
          <t>부산 해운대 농장</t>
        </is>
      </c>
      <c r="C392" t="inlineStr">
        <is>
          <t>쪽파</t>
        </is>
      </c>
      <c r="D392" t="inlineStr">
        <is>
          <t>7. 수도비</t>
        </is>
      </c>
      <c r="E392" t="inlineStr">
        <is>
          <t>월 기타 용수량</t>
        </is>
      </c>
      <c r="F392" s="10" t="n">
        <v>0.4015000000000001</v>
      </c>
      <c r="G392" t="inlineStr">
        <is>
          <t>m³</t>
        </is>
      </c>
    </row>
    <row r="393">
      <c r="A393" t="inlineStr">
        <is>
          <t>S002-쪽파</t>
        </is>
      </c>
      <c r="B393" t="inlineStr">
        <is>
          <t>부산 해운대 농장</t>
        </is>
      </c>
      <c r="C393" t="inlineStr">
        <is>
          <t>쪽파</t>
        </is>
      </c>
      <c r="D393" t="inlineStr">
        <is>
          <t>7. 수도비</t>
        </is>
      </c>
      <c r="E393" t="inlineStr">
        <is>
          <t>월 총 용수량</t>
        </is>
      </c>
      <c r="F393" s="10" t="n">
        <v>17.17846428571429</v>
      </c>
      <c r="G393" t="inlineStr">
        <is>
          <t>m³</t>
        </is>
      </c>
    </row>
    <row r="394">
      <c r="A394" t="inlineStr">
        <is>
          <t>S002-쪽파</t>
        </is>
      </c>
      <c r="B394" t="inlineStr">
        <is>
          <t>부산 해운대 농장</t>
        </is>
      </c>
      <c r="C394" t="inlineStr">
        <is>
          <t>쪽파</t>
        </is>
      </c>
      <c r="D394" t="inlineStr">
        <is>
          <t>7. 수도비</t>
        </is>
      </c>
      <c r="E394" t="inlineStr">
        <is>
          <t>월 수도비</t>
        </is>
      </c>
      <c r="F394" s="8" t="n">
        <v>39510.46785714286</v>
      </c>
      <c r="G394" t="inlineStr">
        <is>
          <t>원</t>
        </is>
      </c>
    </row>
    <row r="395">
      <c r="A395" t="inlineStr">
        <is>
          <t>S002-쪽파</t>
        </is>
      </c>
      <c r="B395" t="inlineStr">
        <is>
          <t>부산 해운대 농장</t>
        </is>
      </c>
      <c r="C395" t="inlineStr">
        <is>
          <t>쪽파</t>
        </is>
      </c>
      <c r="D395" t="inlineStr">
        <is>
          <t>8. 재료비</t>
        </is>
      </c>
      <c r="E395" t="inlineStr">
        <is>
          <t>면적당 월 환산 모종비</t>
        </is>
      </c>
      <c r="F395" s="8" t="n">
        <v>700</v>
      </c>
      <c r="G395" t="inlineStr">
        <is>
          <t>원/m²/month</t>
        </is>
      </c>
    </row>
    <row r="396">
      <c r="A396" t="inlineStr">
        <is>
          <t>S002-쪽파</t>
        </is>
      </c>
      <c r="B396" t="inlineStr">
        <is>
          <t>부산 해운대 농장</t>
        </is>
      </c>
      <c r="C396" t="inlineStr">
        <is>
          <t>쪽파</t>
        </is>
      </c>
      <c r="D396" t="inlineStr">
        <is>
          <t>8. 재료비</t>
        </is>
      </c>
      <c r="E396" t="inlineStr">
        <is>
          <t>월 모종비</t>
        </is>
      </c>
      <c r="F396" s="8" t="n">
        <v>90089.99999999999</v>
      </c>
      <c r="G396" t="inlineStr">
        <is>
          <t>원</t>
        </is>
      </c>
    </row>
    <row r="397">
      <c r="A397" t="inlineStr">
        <is>
          <t>S002-쪽파</t>
        </is>
      </c>
      <c r="B397" t="inlineStr">
        <is>
          <t>부산 해운대 농장</t>
        </is>
      </c>
      <c r="C397" t="inlineStr">
        <is>
          <t>쪽파</t>
        </is>
      </c>
      <c r="D397" t="inlineStr">
        <is>
          <t>8. 재료비</t>
        </is>
      </c>
      <c r="E397" t="inlineStr">
        <is>
          <t>월 양액 사용량</t>
        </is>
      </c>
      <c r="F397" s="10" t="n">
        <v>16.77696428571429</v>
      </c>
      <c r="G397" t="inlineStr">
        <is>
          <t>m³</t>
        </is>
      </c>
    </row>
    <row r="398">
      <c r="A398" t="inlineStr">
        <is>
          <t>S002-쪽파</t>
        </is>
      </c>
      <c r="B398" t="inlineStr">
        <is>
          <t>부산 해운대 농장</t>
        </is>
      </c>
      <c r="C398" t="inlineStr">
        <is>
          <t>쪽파</t>
        </is>
      </c>
      <c r="D398" t="inlineStr">
        <is>
          <t>8. 재료비</t>
        </is>
      </c>
      <c r="E398" t="inlineStr">
        <is>
          <t>월 양액비</t>
        </is>
      </c>
      <c r="F398" s="8" t="n">
        <v>335539.2857142857</v>
      </c>
      <c r="G398" t="inlineStr">
        <is>
          <t>원</t>
        </is>
      </c>
    </row>
    <row r="399">
      <c r="A399" t="inlineStr">
        <is>
          <t>S002-쪽파</t>
        </is>
      </c>
      <c r="B399" t="inlineStr">
        <is>
          <t>부산 해운대 농장</t>
        </is>
      </c>
      <c r="C399" t="inlineStr">
        <is>
          <t>쪽파</t>
        </is>
      </c>
      <c r="D399" t="inlineStr">
        <is>
          <t>8. 재료비</t>
        </is>
      </c>
      <c r="E399" t="inlineStr">
        <is>
          <t>월 재료비</t>
        </is>
      </c>
      <c r="F399" s="8" t="n">
        <v>425629.2857142857</v>
      </c>
      <c r="G399" t="inlineStr">
        <is>
          <t>원</t>
        </is>
      </c>
    </row>
    <row r="400">
      <c r="A400" t="inlineStr">
        <is>
          <t>S002-쪽파</t>
        </is>
      </c>
      <c r="B400" t="inlineStr">
        <is>
          <t>부산 해운대 농장</t>
        </is>
      </c>
      <c r="C400" t="inlineStr">
        <is>
          <t>쪽파</t>
        </is>
      </c>
      <c r="D400" t="inlineStr">
        <is>
          <t>9. 인건비</t>
        </is>
      </c>
      <c r="E400" t="inlineStr">
        <is>
          <t>월 노동시간</t>
        </is>
      </c>
      <c r="F400" s="10" t="n">
        <v>128.7</v>
      </c>
      <c r="G400" t="inlineStr">
        <is>
          <t>시간</t>
        </is>
      </c>
    </row>
    <row r="401">
      <c r="A401" t="inlineStr">
        <is>
          <t>S002-쪽파</t>
        </is>
      </c>
      <c r="B401" t="inlineStr">
        <is>
          <t>부산 해운대 농장</t>
        </is>
      </c>
      <c r="C401" t="inlineStr">
        <is>
          <t>쪽파</t>
        </is>
      </c>
      <c r="D401" t="inlineStr">
        <is>
          <t>9. 인건비</t>
        </is>
      </c>
      <c r="E401" t="inlineStr">
        <is>
          <t>월 인건비</t>
        </is>
      </c>
      <c r="F401" s="8" t="n">
        <v>1328184</v>
      </c>
      <c r="G401" t="inlineStr">
        <is>
          <t>원</t>
        </is>
      </c>
    </row>
    <row r="402">
      <c r="A402" t="inlineStr">
        <is>
          <t>S002-쪽파</t>
        </is>
      </c>
      <c r="B402" t="inlineStr">
        <is>
          <t>부산 해운대 농장</t>
        </is>
      </c>
      <c r="C402" t="inlineStr">
        <is>
          <t>쪽파</t>
        </is>
      </c>
      <c r="D402" t="inlineStr">
        <is>
          <t>10. 수익</t>
        </is>
      </c>
      <c r="E402" t="inlineStr">
        <is>
          <t>기기 대여비 적용면적</t>
        </is>
      </c>
      <c r="F402" s="10" t="n">
        <v>42.9</v>
      </c>
      <c r="G402" t="inlineStr">
        <is>
          <t>m²</t>
        </is>
      </c>
    </row>
    <row r="403">
      <c r="A403" t="inlineStr">
        <is>
          <t>S002-쪽파</t>
        </is>
      </c>
      <c r="B403" t="inlineStr">
        <is>
          <t>부산 해운대 농장</t>
        </is>
      </c>
      <c r="C403" t="inlineStr">
        <is>
          <t>쪽파</t>
        </is>
      </c>
      <c r="D403" t="inlineStr">
        <is>
          <t>10. 수익</t>
        </is>
      </c>
      <c r="E403" t="inlineStr">
        <is>
          <t>면적당 월 기기 대여비</t>
        </is>
      </c>
      <c r="F403" s="8" t="n">
        <v>22000</v>
      </c>
      <c r="G403" t="inlineStr">
        <is>
          <t>원/m²/month</t>
        </is>
      </c>
    </row>
    <row r="404">
      <c r="A404" t="inlineStr">
        <is>
          <t>S002-쪽파</t>
        </is>
      </c>
      <c r="B404" t="inlineStr">
        <is>
          <t>부산 해운대 농장</t>
        </is>
      </c>
      <c r="C404" t="inlineStr">
        <is>
          <t>쪽파</t>
        </is>
      </c>
      <c r="D404" t="inlineStr">
        <is>
          <t>10. 수익</t>
        </is>
      </c>
      <c r="E404" t="inlineStr">
        <is>
          <t>월 기기 대여비</t>
        </is>
      </c>
      <c r="F404" s="8" t="n">
        <v>943800</v>
      </c>
      <c r="G404" t="inlineStr">
        <is>
          <t>원</t>
        </is>
      </c>
    </row>
    <row r="405">
      <c r="A405" t="inlineStr">
        <is>
          <t>S002-쪽파</t>
        </is>
      </c>
      <c r="B405" t="inlineStr">
        <is>
          <t>부산 해운대 농장</t>
        </is>
      </c>
      <c r="C405" t="inlineStr">
        <is>
          <t>쪽파</t>
        </is>
      </c>
      <c r="D405" t="inlineStr">
        <is>
          <t>10. 수익</t>
        </is>
      </c>
      <c r="E405" t="inlineStr">
        <is>
          <t>월 운영비</t>
        </is>
      </c>
      <c r="F405" s="8" t="n">
        <v>4698428.971044391</v>
      </c>
      <c r="G405" t="inlineStr">
        <is>
          <t>원</t>
        </is>
      </c>
    </row>
    <row r="406">
      <c r="A406" t="inlineStr">
        <is>
          <t>S002-쪽파</t>
        </is>
      </c>
      <c r="B406" t="inlineStr">
        <is>
          <t>부산 해운대 농장</t>
        </is>
      </c>
      <c r="C406" t="inlineStr">
        <is>
          <t>쪽파</t>
        </is>
      </c>
      <c r="D406" t="inlineStr">
        <is>
          <t>10. 수익</t>
        </is>
      </c>
      <c r="E406" t="inlineStr">
        <is>
          <t>월 영업이익</t>
        </is>
      </c>
      <c r="F406" s="8" t="n">
        <v>-2381828.971044391</v>
      </c>
      <c r="G406" t="inlineStr">
        <is>
          <t>원</t>
        </is>
      </c>
    </row>
    <row r="407">
      <c r="A407" t="inlineStr">
        <is>
          <t>S002-쪽파</t>
        </is>
      </c>
      <c r="B407" t="inlineStr">
        <is>
          <t>부산 해운대 농장</t>
        </is>
      </c>
      <c r="C407" t="inlineStr">
        <is>
          <t>쪽파</t>
        </is>
      </c>
      <c r="D407" t="inlineStr">
        <is>
          <t>10. 수익</t>
        </is>
      </c>
      <c r="E407" t="inlineStr">
        <is>
          <t>공간 대여자 예상수익</t>
        </is>
      </c>
      <c r="F407" s="8" t="n">
        <v>-1905463.176835513</v>
      </c>
      <c r="G407" t="inlineStr">
        <is>
          <t>원</t>
        </is>
      </c>
    </row>
    <row r="408">
      <c r="A408" t="inlineStr">
        <is>
          <t>S002-쪽파</t>
        </is>
      </c>
      <c r="B408" t="inlineStr">
        <is>
          <t>부산 해운대 농장</t>
        </is>
      </c>
      <c r="C408" t="inlineStr">
        <is>
          <t>쪽파</t>
        </is>
      </c>
      <c r="D408" t="inlineStr">
        <is>
          <t>10. 수익</t>
        </is>
      </c>
      <c r="E408" t="inlineStr">
        <is>
          <t>원하는 월세</t>
        </is>
      </c>
      <c r="F408" s="8" t="n">
        <v>800000</v>
      </c>
      <c r="G408" t="inlineStr">
        <is>
          <t>원</t>
        </is>
      </c>
    </row>
    <row r="409">
      <c r="A409" t="inlineStr">
        <is>
          <t>S002-쪽파</t>
        </is>
      </c>
      <c r="B409" t="inlineStr">
        <is>
          <t>부산 해운대 농장</t>
        </is>
      </c>
      <c r="C409" t="inlineStr">
        <is>
          <t>쪽파</t>
        </is>
      </c>
      <c r="D409" t="inlineStr">
        <is>
          <t>10. 수익</t>
        </is>
      </c>
      <c r="E409" t="inlineStr">
        <is>
          <t>공실 월세 대비 차이</t>
        </is>
      </c>
      <c r="F409" s="8" t="n">
        <v>-2705463.176835513</v>
      </c>
      <c r="G409" t="inlineStr">
        <is>
          <t>원</t>
        </is>
      </c>
    </row>
    <row r="410">
      <c r="A410" t="inlineStr">
        <is>
          <t>S002-쪽파</t>
        </is>
      </c>
      <c r="B410" t="inlineStr">
        <is>
          <t>부산 해운대 농장</t>
        </is>
      </c>
      <c r="C410" t="inlineStr">
        <is>
          <t>쪽파</t>
        </is>
      </c>
      <c r="D410" t="inlineStr">
        <is>
          <t>10. 수익</t>
        </is>
      </c>
      <c r="E410" t="inlineStr">
        <is>
          <t>사업장 영업이익</t>
        </is>
      </c>
      <c r="F410" s="8" t="n">
        <v>-476365.7942088782</v>
      </c>
      <c r="G410" t="inlineStr">
        <is>
          <t>원</t>
        </is>
      </c>
    </row>
    <row r="411">
      <c r="A411" t="inlineStr">
        <is>
          <t>S002-병풀</t>
        </is>
      </c>
      <c r="B411" t="inlineStr">
        <is>
          <t>부산 해운대 농장</t>
        </is>
      </c>
      <c r="C411" t="inlineStr">
        <is>
          <t>병풀</t>
        </is>
      </c>
      <c r="D411" t="inlineStr">
        <is>
          <t>1. 공간</t>
        </is>
      </c>
      <c r="E411" t="inlineStr">
        <is>
          <t>공실 전체면적</t>
        </is>
      </c>
      <c r="F411" s="10" t="n">
        <v>66</v>
      </c>
      <c r="G411" t="inlineStr">
        <is>
          <t>m²</t>
        </is>
      </c>
    </row>
    <row r="412">
      <c r="A412" t="inlineStr">
        <is>
          <t>S002-병풀</t>
        </is>
      </c>
      <c r="B412" t="inlineStr">
        <is>
          <t>부산 해운대 농장</t>
        </is>
      </c>
      <c r="C412" t="inlineStr">
        <is>
          <t>병풀</t>
        </is>
      </c>
      <c r="D412" t="inlineStr">
        <is>
          <t>1. 공간</t>
        </is>
      </c>
      <c r="E412" t="inlineStr">
        <is>
          <t>사용가능 바닥면적</t>
        </is>
      </c>
      <c r="F412" s="10" t="n">
        <v>42.9</v>
      </c>
      <c r="G412" t="inlineStr">
        <is>
          <t>m²</t>
        </is>
      </c>
    </row>
    <row r="413">
      <c r="A413" t="inlineStr">
        <is>
          <t>S002-병풀</t>
        </is>
      </c>
      <c r="B413" t="inlineStr">
        <is>
          <t>부산 해운대 농장</t>
        </is>
      </c>
      <c r="C413" t="inlineStr">
        <is>
          <t>병풀</t>
        </is>
      </c>
      <c r="D413" t="inlineStr">
        <is>
          <t>1. 공간</t>
        </is>
      </c>
      <c r="E413" t="inlineStr">
        <is>
          <t>작물별 모듈 층 수</t>
        </is>
      </c>
      <c r="F413" s="8" t="n">
        <v>3</v>
      </c>
      <c r="G413" t="inlineStr">
        <is>
          <t>층</t>
        </is>
      </c>
    </row>
    <row r="414">
      <c r="A414" t="inlineStr">
        <is>
          <t>S002-병풀</t>
        </is>
      </c>
      <c r="B414" t="inlineStr">
        <is>
          <t>부산 해운대 농장</t>
        </is>
      </c>
      <c r="C414" t="inlineStr">
        <is>
          <t>병풀</t>
        </is>
      </c>
      <c r="D414" t="inlineStr">
        <is>
          <t>1. 공간</t>
        </is>
      </c>
      <c r="E414" t="inlineStr">
        <is>
          <t>재배면적</t>
        </is>
      </c>
      <c r="F414" s="10" t="n">
        <v>128.7</v>
      </c>
      <c r="G414" t="inlineStr">
        <is>
          <t>m²</t>
        </is>
      </c>
    </row>
    <row r="415">
      <c r="A415" t="inlineStr">
        <is>
          <t>S002-병풀</t>
        </is>
      </c>
      <c r="B415" t="inlineStr">
        <is>
          <t>부산 해운대 농장</t>
        </is>
      </c>
      <c r="C415" t="inlineStr">
        <is>
          <t>병풀</t>
        </is>
      </c>
      <c r="D415" t="inlineStr">
        <is>
          <t>1. 공간</t>
        </is>
      </c>
      <c r="E415" t="inlineStr">
        <is>
          <t>공간 체적</t>
        </is>
      </c>
      <c r="F415" s="10" t="n">
        <v>165</v>
      </c>
      <c r="G415" t="inlineStr">
        <is>
          <t>m³</t>
        </is>
      </c>
    </row>
    <row r="416">
      <c r="A416" t="inlineStr">
        <is>
          <t>S002-병풀</t>
        </is>
      </c>
      <c r="B416" t="inlineStr">
        <is>
          <t>부산 해운대 농장</t>
        </is>
      </c>
      <c r="C416" t="inlineStr">
        <is>
          <t>병풀</t>
        </is>
      </c>
      <c r="D416" t="inlineStr">
        <is>
          <t>2. 생산</t>
        </is>
      </c>
      <c r="E416" t="inlineStr">
        <is>
          <t>월 총생산량</t>
        </is>
      </c>
      <c r="F416" s="10" t="n">
        <v>257.4</v>
      </c>
      <c r="G416" t="inlineStr">
        <is>
          <t>kg</t>
        </is>
      </c>
    </row>
    <row r="417">
      <c r="A417" t="inlineStr">
        <is>
          <t>S002-병풀</t>
        </is>
      </c>
      <c r="B417" t="inlineStr">
        <is>
          <t>부산 해운대 농장</t>
        </is>
      </c>
      <c r="C417" t="inlineStr">
        <is>
          <t>병풀</t>
        </is>
      </c>
      <c r="D417" t="inlineStr">
        <is>
          <t>2. 생산</t>
        </is>
      </c>
      <c r="E417" t="inlineStr">
        <is>
          <t>월 판매량</t>
        </is>
      </c>
      <c r="F417" s="10" t="n">
        <v>231.66</v>
      </c>
      <c r="G417" t="inlineStr">
        <is>
          <t>kg</t>
        </is>
      </c>
    </row>
    <row r="418">
      <c r="A418" t="inlineStr">
        <is>
          <t>S002-병풀</t>
        </is>
      </c>
      <c r="B418" t="inlineStr">
        <is>
          <t>부산 해운대 농장</t>
        </is>
      </c>
      <c r="C418" t="inlineStr">
        <is>
          <t>병풀</t>
        </is>
      </c>
      <c r="D418" t="inlineStr">
        <is>
          <t>3. 매출</t>
        </is>
      </c>
      <c r="E418" t="inlineStr">
        <is>
          <t>판매가격</t>
        </is>
      </c>
      <c r="F418" s="8" t="n">
        <v>20000</v>
      </c>
      <c r="G418" t="inlineStr">
        <is>
          <t>원/kg</t>
        </is>
      </c>
    </row>
    <row r="419">
      <c r="A419" t="inlineStr">
        <is>
          <t>S002-병풀</t>
        </is>
      </c>
      <c r="B419" t="inlineStr">
        <is>
          <t>부산 해운대 농장</t>
        </is>
      </c>
      <c r="C419" t="inlineStr">
        <is>
          <t>병풀</t>
        </is>
      </c>
      <c r="D419" t="inlineStr">
        <is>
          <t>3. 매출</t>
        </is>
      </c>
      <c r="E419" t="inlineStr">
        <is>
          <t>월 매출</t>
        </is>
      </c>
      <c r="F419" s="8" t="n">
        <v>4633200</v>
      </c>
      <c r="G419" t="inlineStr">
        <is>
          <t>원</t>
        </is>
      </c>
    </row>
    <row r="420">
      <c r="A420" t="inlineStr">
        <is>
          <t>S002-병풀</t>
        </is>
      </c>
      <c r="B420" t="inlineStr">
        <is>
          <t>부산 해운대 농장</t>
        </is>
      </c>
      <c r="C420" t="inlineStr">
        <is>
          <t>병풀</t>
        </is>
      </c>
      <c r="D420" t="inlineStr">
        <is>
          <t>4. 조명·냉난방</t>
        </is>
      </c>
      <c r="E420" t="inlineStr">
        <is>
          <t>필요 조명전력</t>
        </is>
      </c>
      <c r="F420" s="10" t="n">
        <v>9192.857142857141</v>
      </c>
      <c r="G420" t="inlineStr">
        <is>
          <t>W</t>
        </is>
      </c>
    </row>
    <row r="421">
      <c r="A421" t="inlineStr">
        <is>
          <t>S002-병풀</t>
        </is>
      </c>
      <c r="B421" t="inlineStr">
        <is>
          <t>부산 해운대 농장</t>
        </is>
      </c>
      <c r="C421" t="inlineStr">
        <is>
          <t>병풀</t>
        </is>
      </c>
      <c r="D421" t="inlineStr">
        <is>
          <t>4. 조명·냉난방</t>
        </is>
      </c>
      <c r="E421" t="inlineStr">
        <is>
          <t>월 조명전력량</t>
        </is>
      </c>
      <c r="F421" s="10" t="n">
        <v>3355.392857142856</v>
      </c>
      <c r="G421" t="inlineStr">
        <is>
          <t>kWh</t>
        </is>
      </c>
    </row>
    <row r="422">
      <c r="A422" t="inlineStr">
        <is>
          <t>S002-병풀</t>
        </is>
      </c>
      <c r="B422" t="inlineStr">
        <is>
          <t>부산 해운대 농장</t>
        </is>
      </c>
      <c r="C422" t="inlineStr">
        <is>
          <t>병풀</t>
        </is>
      </c>
      <c r="D422" t="inlineStr">
        <is>
          <t>5. 습도</t>
        </is>
      </c>
      <c r="E422" t="inlineStr">
        <is>
          <t>월 증발산량</t>
        </is>
      </c>
      <c r="F422" s="10" t="n">
        <v>11743.875</v>
      </c>
      <c r="G422" t="inlineStr">
        <is>
          <t>kg</t>
        </is>
      </c>
    </row>
    <row r="423">
      <c r="A423" t="inlineStr">
        <is>
          <t>S002-병풀</t>
        </is>
      </c>
      <c r="B423" t="inlineStr">
        <is>
          <t>부산 해운대 농장</t>
        </is>
      </c>
      <c r="C423" t="inlineStr">
        <is>
          <t>병풀</t>
        </is>
      </c>
      <c r="D423" t="inlineStr">
        <is>
          <t>6. 전기비</t>
        </is>
      </c>
      <c r="E423" t="inlineStr">
        <is>
          <t>월평균 총 전력량</t>
        </is>
      </c>
      <c r="F423" s="10" t="n">
        <v>9514.144933928705</v>
      </c>
      <c r="G423" t="inlineStr">
        <is>
          <t>kWh</t>
        </is>
      </c>
    </row>
    <row r="424">
      <c r="A424" t="inlineStr">
        <is>
          <t>S002-병풀</t>
        </is>
      </c>
      <c r="B424" t="inlineStr">
        <is>
          <t>부산 해운대 농장</t>
        </is>
      </c>
      <c r="C424" t="inlineStr">
        <is>
          <t>병풀</t>
        </is>
      </c>
      <c r="D424" t="inlineStr">
        <is>
          <t>6. 전기비</t>
        </is>
      </c>
      <c r="E424" t="inlineStr">
        <is>
          <t>월 전기비</t>
        </is>
      </c>
      <c r="F424" s="8" t="n">
        <v>1474692.464758949</v>
      </c>
      <c r="G424" t="inlineStr">
        <is>
          <t>원</t>
        </is>
      </c>
    </row>
    <row r="425">
      <c r="A425" t="inlineStr">
        <is>
          <t>S002-병풀</t>
        </is>
      </c>
      <c r="B425" t="inlineStr">
        <is>
          <t>부산 해운대 농장</t>
        </is>
      </c>
      <c r="C425" t="inlineStr">
        <is>
          <t>병풀</t>
        </is>
      </c>
      <c r="D425" t="inlineStr">
        <is>
          <t>7. 수도비</t>
        </is>
      </c>
      <c r="E425" t="inlineStr">
        <is>
          <t>배액률</t>
        </is>
      </c>
      <c r="F425" s="11" t="n">
        <v>0.3</v>
      </c>
      <c r="G425" t="inlineStr">
        <is>
          <t>%</t>
        </is>
      </c>
    </row>
    <row r="426">
      <c r="A426" t="inlineStr">
        <is>
          <t>S002-병풀</t>
        </is>
      </c>
      <c r="B426" t="inlineStr">
        <is>
          <t>부산 해운대 농장</t>
        </is>
      </c>
      <c r="C426" t="inlineStr">
        <is>
          <t>병풀</t>
        </is>
      </c>
      <c r="D426" t="inlineStr">
        <is>
          <t>7. 수도비</t>
        </is>
      </c>
      <c r="E426" t="inlineStr">
        <is>
          <t>월 작물 순소비량</t>
        </is>
      </c>
      <c r="F426" s="10" t="n">
        <v>11.743875</v>
      </c>
      <c r="G426" t="inlineStr">
        <is>
          <t>m³</t>
        </is>
      </c>
    </row>
    <row r="427">
      <c r="A427" t="inlineStr">
        <is>
          <t>S002-병풀</t>
        </is>
      </c>
      <c r="B427" t="inlineStr">
        <is>
          <t>부산 해운대 농장</t>
        </is>
      </c>
      <c r="C427" t="inlineStr">
        <is>
          <t>병풀</t>
        </is>
      </c>
      <c r="D427" t="inlineStr">
        <is>
          <t>7. 수도비</t>
        </is>
      </c>
      <c r="E427" t="inlineStr">
        <is>
          <t>월 배액량</t>
        </is>
      </c>
      <c r="F427" s="10" t="n">
        <v>5.033089285714286</v>
      </c>
      <c r="G427" t="inlineStr">
        <is>
          <t>m³</t>
        </is>
      </c>
    </row>
    <row r="428">
      <c r="A428" t="inlineStr">
        <is>
          <t>S002-병풀</t>
        </is>
      </c>
      <c r="B428" t="inlineStr">
        <is>
          <t>부산 해운대 농장</t>
        </is>
      </c>
      <c r="C428" t="inlineStr">
        <is>
          <t>병풀</t>
        </is>
      </c>
      <c r="D428" t="inlineStr">
        <is>
          <t>7. 수도비</t>
        </is>
      </c>
      <c r="E428" t="inlineStr">
        <is>
          <t>월 작물 관수량</t>
        </is>
      </c>
      <c r="F428" s="10" t="n">
        <v>16.77696428571429</v>
      </c>
      <c r="G428" t="inlineStr">
        <is>
          <t>m³</t>
        </is>
      </c>
    </row>
    <row r="429">
      <c r="A429" t="inlineStr">
        <is>
          <t>S002-병풀</t>
        </is>
      </c>
      <c r="B429" t="inlineStr">
        <is>
          <t>부산 해운대 농장</t>
        </is>
      </c>
      <c r="C429" t="inlineStr">
        <is>
          <t>병풀</t>
        </is>
      </c>
      <c r="D429" t="inlineStr">
        <is>
          <t>7. 수도비</t>
        </is>
      </c>
      <c r="E429" t="inlineStr">
        <is>
          <t>월 기타 용수량</t>
        </is>
      </c>
      <c r="F429" s="10" t="n">
        <v>0.4015000000000001</v>
      </c>
      <c r="G429" t="inlineStr">
        <is>
          <t>m³</t>
        </is>
      </c>
    </row>
    <row r="430">
      <c r="A430" t="inlineStr">
        <is>
          <t>S002-병풀</t>
        </is>
      </c>
      <c r="B430" t="inlineStr">
        <is>
          <t>부산 해운대 농장</t>
        </is>
      </c>
      <c r="C430" t="inlineStr">
        <is>
          <t>병풀</t>
        </is>
      </c>
      <c r="D430" t="inlineStr">
        <is>
          <t>7. 수도비</t>
        </is>
      </c>
      <c r="E430" t="inlineStr">
        <is>
          <t>월 총 용수량</t>
        </is>
      </c>
      <c r="F430" s="10" t="n">
        <v>17.17846428571429</v>
      </c>
      <c r="G430" t="inlineStr">
        <is>
          <t>m³</t>
        </is>
      </c>
    </row>
    <row r="431">
      <c r="A431" t="inlineStr">
        <is>
          <t>S002-병풀</t>
        </is>
      </c>
      <c r="B431" t="inlineStr">
        <is>
          <t>부산 해운대 농장</t>
        </is>
      </c>
      <c r="C431" t="inlineStr">
        <is>
          <t>병풀</t>
        </is>
      </c>
      <c r="D431" t="inlineStr">
        <is>
          <t>7. 수도비</t>
        </is>
      </c>
      <c r="E431" t="inlineStr">
        <is>
          <t>월 수도비</t>
        </is>
      </c>
      <c r="F431" s="8" t="n">
        <v>39510.46785714286</v>
      </c>
      <c r="G431" t="inlineStr">
        <is>
          <t>원</t>
        </is>
      </c>
    </row>
    <row r="432">
      <c r="A432" t="inlineStr">
        <is>
          <t>S002-병풀</t>
        </is>
      </c>
      <c r="B432" t="inlineStr">
        <is>
          <t>부산 해운대 농장</t>
        </is>
      </c>
      <c r="C432" t="inlineStr">
        <is>
          <t>병풀</t>
        </is>
      </c>
      <c r="D432" t="inlineStr">
        <is>
          <t>8. 재료비</t>
        </is>
      </c>
      <c r="E432" t="inlineStr">
        <is>
          <t>면적당 월 환산 모종비</t>
        </is>
      </c>
      <c r="F432" s="8" t="n">
        <v>1666.67</v>
      </c>
      <c r="G432" t="inlineStr">
        <is>
          <t>원/m²/month</t>
        </is>
      </c>
    </row>
    <row r="433">
      <c r="A433" t="inlineStr">
        <is>
          <t>S002-병풀</t>
        </is>
      </c>
      <c r="B433" t="inlineStr">
        <is>
          <t>부산 해운대 농장</t>
        </is>
      </c>
      <c r="C433" t="inlineStr">
        <is>
          <t>병풀</t>
        </is>
      </c>
      <c r="D433" t="inlineStr">
        <is>
          <t>8. 재료비</t>
        </is>
      </c>
      <c r="E433" t="inlineStr">
        <is>
          <t>월 모종비</t>
        </is>
      </c>
      <c r="F433" s="8" t="n">
        <v>214500.429</v>
      </c>
      <c r="G433" t="inlineStr">
        <is>
          <t>원</t>
        </is>
      </c>
    </row>
    <row r="434">
      <c r="A434" t="inlineStr">
        <is>
          <t>S002-병풀</t>
        </is>
      </c>
      <c r="B434" t="inlineStr">
        <is>
          <t>부산 해운대 농장</t>
        </is>
      </c>
      <c r="C434" t="inlineStr">
        <is>
          <t>병풀</t>
        </is>
      </c>
      <c r="D434" t="inlineStr">
        <is>
          <t>8. 재료비</t>
        </is>
      </c>
      <c r="E434" t="inlineStr">
        <is>
          <t>월 양액 사용량</t>
        </is>
      </c>
      <c r="F434" s="10" t="n">
        <v>16.77696428571429</v>
      </c>
      <c r="G434" t="inlineStr">
        <is>
          <t>m³</t>
        </is>
      </c>
    </row>
    <row r="435">
      <c r="A435" t="inlineStr">
        <is>
          <t>S002-병풀</t>
        </is>
      </c>
      <c r="B435" t="inlineStr">
        <is>
          <t>부산 해운대 농장</t>
        </is>
      </c>
      <c r="C435" t="inlineStr">
        <is>
          <t>병풀</t>
        </is>
      </c>
      <c r="D435" t="inlineStr">
        <is>
          <t>8. 재료비</t>
        </is>
      </c>
      <c r="E435" t="inlineStr">
        <is>
          <t>월 양액비</t>
        </is>
      </c>
      <c r="F435" s="8" t="n">
        <v>335539.2857142857</v>
      </c>
      <c r="G435" t="inlineStr">
        <is>
          <t>원</t>
        </is>
      </c>
    </row>
    <row r="436">
      <c r="A436" t="inlineStr">
        <is>
          <t>S002-병풀</t>
        </is>
      </c>
      <c r="B436" t="inlineStr">
        <is>
          <t>부산 해운대 농장</t>
        </is>
      </c>
      <c r="C436" t="inlineStr">
        <is>
          <t>병풀</t>
        </is>
      </c>
      <c r="D436" t="inlineStr">
        <is>
          <t>8. 재료비</t>
        </is>
      </c>
      <c r="E436" t="inlineStr">
        <is>
          <t>월 재료비</t>
        </is>
      </c>
      <c r="F436" s="8" t="n">
        <v>550039.7147142857</v>
      </c>
      <c r="G436" t="inlineStr">
        <is>
          <t>원</t>
        </is>
      </c>
    </row>
    <row r="437">
      <c r="A437" t="inlineStr">
        <is>
          <t>S002-병풀</t>
        </is>
      </c>
      <c r="B437" t="inlineStr">
        <is>
          <t>부산 해운대 농장</t>
        </is>
      </c>
      <c r="C437" t="inlineStr">
        <is>
          <t>병풀</t>
        </is>
      </c>
      <c r="D437" t="inlineStr">
        <is>
          <t>9. 인건비</t>
        </is>
      </c>
      <c r="E437" t="inlineStr">
        <is>
          <t>월 노동시간</t>
        </is>
      </c>
      <c r="F437" s="10" t="n">
        <v>128.7</v>
      </c>
      <c r="G437" t="inlineStr">
        <is>
          <t>시간</t>
        </is>
      </c>
    </row>
    <row r="438">
      <c r="A438" t="inlineStr">
        <is>
          <t>S002-병풀</t>
        </is>
      </c>
      <c r="B438" t="inlineStr">
        <is>
          <t>부산 해운대 농장</t>
        </is>
      </c>
      <c r="C438" t="inlineStr">
        <is>
          <t>병풀</t>
        </is>
      </c>
      <c r="D438" t="inlineStr">
        <is>
          <t>9. 인건비</t>
        </is>
      </c>
      <c r="E438" t="inlineStr">
        <is>
          <t>월 인건비</t>
        </is>
      </c>
      <c r="F438" s="8" t="n">
        <v>1328184</v>
      </c>
      <c r="G438" t="inlineStr">
        <is>
          <t>원</t>
        </is>
      </c>
    </row>
    <row r="439">
      <c r="A439" t="inlineStr">
        <is>
          <t>S002-병풀</t>
        </is>
      </c>
      <c r="B439" t="inlineStr">
        <is>
          <t>부산 해운대 농장</t>
        </is>
      </c>
      <c r="C439" t="inlineStr">
        <is>
          <t>병풀</t>
        </is>
      </c>
      <c r="D439" t="inlineStr">
        <is>
          <t>10. 수익</t>
        </is>
      </c>
      <c r="E439" t="inlineStr">
        <is>
          <t>기기 대여비 적용면적</t>
        </is>
      </c>
      <c r="F439" s="10" t="n">
        <v>42.9</v>
      </c>
      <c r="G439" t="inlineStr">
        <is>
          <t>m²</t>
        </is>
      </c>
    </row>
    <row r="440">
      <c r="A440" t="inlineStr">
        <is>
          <t>S002-병풀</t>
        </is>
      </c>
      <c r="B440" t="inlineStr">
        <is>
          <t>부산 해운대 농장</t>
        </is>
      </c>
      <c r="C440" t="inlineStr">
        <is>
          <t>병풀</t>
        </is>
      </c>
      <c r="D440" t="inlineStr">
        <is>
          <t>10. 수익</t>
        </is>
      </c>
      <c r="E440" t="inlineStr">
        <is>
          <t>면적당 월 기기 대여비</t>
        </is>
      </c>
      <c r="F440" s="8" t="n">
        <v>22000</v>
      </c>
      <c r="G440" t="inlineStr">
        <is>
          <t>원/m²/month</t>
        </is>
      </c>
    </row>
    <row r="441">
      <c r="A441" t="inlineStr">
        <is>
          <t>S002-병풀</t>
        </is>
      </c>
      <c r="B441" t="inlineStr">
        <is>
          <t>부산 해운대 농장</t>
        </is>
      </c>
      <c r="C441" t="inlineStr">
        <is>
          <t>병풀</t>
        </is>
      </c>
      <c r="D441" t="inlineStr">
        <is>
          <t>10. 수익</t>
        </is>
      </c>
      <c r="E441" t="inlineStr">
        <is>
          <t>월 기기 대여비</t>
        </is>
      </c>
      <c r="F441" s="8" t="n">
        <v>943800</v>
      </c>
      <c r="G441" t="inlineStr">
        <is>
          <t>원</t>
        </is>
      </c>
    </row>
    <row r="442">
      <c r="A442" t="inlineStr">
        <is>
          <t>S002-병풀</t>
        </is>
      </c>
      <c r="B442" t="inlineStr">
        <is>
          <t>부산 해운대 농장</t>
        </is>
      </c>
      <c r="C442" t="inlineStr">
        <is>
          <t>병풀</t>
        </is>
      </c>
      <c r="D442" t="inlineStr">
        <is>
          <t>10. 수익</t>
        </is>
      </c>
      <c r="E442" t="inlineStr">
        <is>
          <t>월 운영비</t>
        </is>
      </c>
      <c r="F442" s="8" t="n">
        <v>4636226.647330377</v>
      </c>
      <c r="G442" t="inlineStr">
        <is>
          <t>원</t>
        </is>
      </c>
    </row>
    <row r="443">
      <c r="A443" t="inlineStr">
        <is>
          <t>S002-병풀</t>
        </is>
      </c>
      <c r="B443" t="inlineStr">
        <is>
          <t>부산 해운대 농장</t>
        </is>
      </c>
      <c r="C443" t="inlineStr">
        <is>
          <t>병풀</t>
        </is>
      </c>
      <c r="D443" t="inlineStr">
        <is>
          <t>10. 수익</t>
        </is>
      </c>
      <c r="E443" t="inlineStr">
        <is>
          <t>월 영업이익</t>
        </is>
      </c>
      <c r="F443" s="8" t="n">
        <v>-3026.647330377251</v>
      </c>
      <c r="G443" t="inlineStr">
        <is>
          <t>원</t>
        </is>
      </c>
    </row>
    <row r="444">
      <c r="A444" t="inlineStr">
        <is>
          <t>S002-병풀</t>
        </is>
      </c>
      <c r="B444" t="inlineStr">
        <is>
          <t>부산 해운대 농장</t>
        </is>
      </c>
      <c r="C444" t="inlineStr">
        <is>
          <t>병풀</t>
        </is>
      </c>
      <c r="D444" t="inlineStr">
        <is>
          <t>10. 수익</t>
        </is>
      </c>
      <c r="E444" t="inlineStr">
        <is>
          <t>공간 대여자 예상수익</t>
        </is>
      </c>
      <c r="F444" s="8" t="n">
        <v>-2421.317864301801</v>
      </c>
      <c r="G444" t="inlineStr">
        <is>
          <t>원</t>
        </is>
      </c>
    </row>
    <row r="445">
      <c r="A445" t="inlineStr">
        <is>
          <t>S002-병풀</t>
        </is>
      </c>
      <c r="B445" t="inlineStr">
        <is>
          <t>부산 해운대 농장</t>
        </is>
      </c>
      <c r="C445" t="inlineStr">
        <is>
          <t>병풀</t>
        </is>
      </c>
      <c r="D445" t="inlineStr">
        <is>
          <t>10. 수익</t>
        </is>
      </c>
      <c r="E445" t="inlineStr">
        <is>
          <t>원하는 월세</t>
        </is>
      </c>
      <c r="F445" s="8" t="n">
        <v>800000</v>
      </c>
      <c r="G445" t="inlineStr">
        <is>
          <t>원</t>
        </is>
      </c>
    </row>
    <row r="446">
      <c r="A446" t="inlineStr">
        <is>
          <t>S002-병풀</t>
        </is>
      </c>
      <c r="B446" t="inlineStr">
        <is>
          <t>부산 해운대 농장</t>
        </is>
      </c>
      <c r="C446" t="inlineStr">
        <is>
          <t>병풀</t>
        </is>
      </c>
      <c r="D446" t="inlineStr">
        <is>
          <t>10. 수익</t>
        </is>
      </c>
      <c r="E446" t="inlineStr">
        <is>
          <t>공실 월세 대비 차이</t>
        </is>
      </c>
      <c r="F446" s="8" t="n">
        <v>-802421.3178643018</v>
      </c>
      <c r="G446" t="inlineStr">
        <is>
          <t>원</t>
        </is>
      </c>
    </row>
    <row r="447">
      <c r="A447" t="inlineStr">
        <is>
          <t>S002-병풀</t>
        </is>
      </c>
      <c r="B447" t="inlineStr">
        <is>
          <t>부산 해운대 농장</t>
        </is>
      </c>
      <c r="C447" t="inlineStr">
        <is>
          <t>병풀</t>
        </is>
      </c>
      <c r="D447" t="inlineStr">
        <is>
          <t>10. 수익</t>
        </is>
      </c>
      <c r="E447" t="inlineStr">
        <is>
          <t>사업장 영업이익</t>
        </is>
      </c>
      <c r="F447" s="8" t="n">
        <v>-605.32946607545</v>
      </c>
      <c r="G447" t="inlineStr">
        <is>
          <t>원</t>
        </is>
      </c>
    </row>
    <row r="448">
      <c r="A448" t="inlineStr">
        <is>
          <t>S003-상추</t>
        </is>
      </c>
      <c r="B448" t="inlineStr">
        <is>
          <t>부산 사하구 농장</t>
        </is>
      </c>
      <c r="C448" t="inlineStr">
        <is>
          <t>상추</t>
        </is>
      </c>
      <c r="D448" t="inlineStr">
        <is>
          <t>1. 공간</t>
        </is>
      </c>
      <c r="E448" t="inlineStr">
        <is>
          <t>공실 전체면적</t>
        </is>
      </c>
      <c r="F448" s="10" t="n">
        <v>324</v>
      </c>
      <c r="G448" t="inlineStr">
        <is>
          <t>m²</t>
        </is>
      </c>
    </row>
    <row r="449">
      <c r="A449" t="inlineStr">
        <is>
          <t>S003-상추</t>
        </is>
      </c>
      <c r="B449" t="inlineStr">
        <is>
          <t>부산 사하구 농장</t>
        </is>
      </c>
      <c r="C449" t="inlineStr">
        <is>
          <t>상추</t>
        </is>
      </c>
      <c r="D449" t="inlineStr">
        <is>
          <t>1. 공간</t>
        </is>
      </c>
      <c r="E449" t="inlineStr">
        <is>
          <t>사용가능 바닥면적</t>
        </is>
      </c>
      <c r="F449" s="10" t="n">
        <v>210.6</v>
      </c>
      <c r="G449" t="inlineStr">
        <is>
          <t>m²</t>
        </is>
      </c>
    </row>
    <row r="450">
      <c r="A450" t="inlineStr">
        <is>
          <t>S003-상추</t>
        </is>
      </c>
      <c r="B450" t="inlineStr">
        <is>
          <t>부산 사하구 농장</t>
        </is>
      </c>
      <c r="C450" t="inlineStr">
        <is>
          <t>상추</t>
        </is>
      </c>
      <c r="D450" t="inlineStr">
        <is>
          <t>1. 공간</t>
        </is>
      </c>
      <c r="E450" t="inlineStr">
        <is>
          <t>작물별 모듈 층 수</t>
        </is>
      </c>
      <c r="F450" s="8" t="n">
        <v>4</v>
      </c>
      <c r="G450" t="inlineStr">
        <is>
          <t>층</t>
        </is>
      </c>
    </row>
    <row r="451">
      <c r="A451" t="inlineStr">
        <is>
          <t>S003-상추</t>
        </is>
      </c>
      <c r="B451" t="inlineStr">
        <is>
          <t>부산 사하구 농장</t>
        </is>
      </c>
      <c r="C451" t="inlineStr">
        <is>
          <t>상추</t>
        </is>
      </c>
      <c r="D451" t="inlineStr">
        <is>
          <t>1. 공간</t>
        </is>
      </c>
      <c r="E451" t="inlineStr">
        <is>
          <t>재배면적</t>
        </is>
      </c>
      <c r="F451" s="10" t="n">
        <v>842.4</v>
      </c>
      <c r="G451" t="inlineStr">
        <is>
          <t>m²</t>
        </is>
      </c>
    </row>
    <row r="452">
      <c r="A452" t="inlineStr">
        <is>
          <t>S003-상추</t>
        </is>
      </c>
      <c r="B452" t="inlineStr">
        <is>
          <t>부산 사하구 농장</t>
        </is>
      </c>
      <c r="C452" t="inlineStr">
        <is>
          <t>상추</t>
        </is>
      </c>
      <c r="D452" t="inlineStr">
        <is>
          <t>1. 공간</t>
        </is>
      </c>
      <c r="E452" t="inlineStr">
        <is>
          <t>공간 체적</t>
        </is>
      </c>
      <c r="F452" s="10" t="n">
        <v>810</v>
      </c>
      <c r="G452" t="inlineStr">
        <is>
          <t>m³</t>
        </is>
      </c>
    </row>
    <row r="453">
      <c r="A453" t="inlineStr">
        <is>
          <t>S003-상추</t>
        </is>
      </c>
      <c r="B453" t="inlineStr">
        <is>
          <t>부산 사하구 농장</t>
        </is>
      </c>
      <c r="C453" t="inlineStr">
        <is>
          <t>상추</t>
        </is>
      </c>
      <c r="D453" t="inlineStr">
        <is>
          <t>2. 생산</t>
        </is>
      </c>
      <c r="E453" t="inlineStr">
        <is>
          <t>월 총생산량</t>
        </is>
      </c>
      <c r="F453" s="10" t="n">
        <v>2527.2</v>
      </c>
      <c r="G453" t="inlineStr">
        <is>
          <t>kg</t>
        </is>
      </c>
    </row>
    <row r="454">
      <c r="A454" t="inlineStr">
        <is>
          <t>S003-상추</t>
        </is>
      </c>
      <c r="B454" t="inlineStr">
        <is>
          <t>부산 사하구 농장</t>
        </is>
      </c>
      <c r="C454" t="inlineStr">
        <is>
          <t>상추</t>
        </is>
      </c>
      <c r="D454" t="inlineStr">
        <is>
          <t>2. 생산</t>
        </is>
      </c>
      <c r="E454" t="inlineStr">
        <is>
          <t>월 판매량</t>
        </is>
      </c>
      <c r="F454" s="10" t="n">
        <v>2274.48</v>
      </c>
      <c r="G454" t="inlineStr">
        <is>
          <t>kg</t>
        </is>
      </c>
    </row>
    <row r="455">
      <c r="A455" t="inlineStr">
        <is>
          <t>S003-상추</t>
        </is>
      </c>
      <c r="B455" t="inlineStr">
        <is>
          <t>부산 사하구 농장</t>
        </is>
      </c>
      <c r="C455" t="inlineStr">
        <is>
          <t>상추</t>
        </is>
      </c>
      <c r="D455" t="inlineStr">
        <is>
          <t>3. 매출</t>
        </is>
      </c>
      <c r="E455" t="inlineStr">
        <is>
          <t>판매가격</t>
        </is>
      </c>
      <c r="F455" s="8" t="n">
        <v>8000</v>
      </c>
      <c r="G455" t="inlineStr">
        <is>
          <t>원/kg</t>
        </is>
      </c>
    </row>
    <row r="456">
      <c r="A456" t="inlineStr">
        <is>
          <t>S003-상추</t>
        </is>
      </c>
      <c r="B456" t="inlineStr">
        <is>
          <t>부산 사하구 농장</t>
        </is>
      </c>
      <c r="C456" t="inlineStr">
        <is>
          <t>상추</t>
        </is>
      </c>
      <c r="D456" t="inlineStr">
        <is>
          <t>3. 매출</t>
        </is>
      </c>
      <c r="E456" t="inlineStr">
        <is>
          <t>월 매출</t>
        </is>
      </c>
      <c r="F456" s="8" t="n">
        <v>18195840</v>
      </c>
      <c r="G456" t="inlineStr">
        <is>
          <t>원</t>
        </is>
      </c>
    </row>
    <row r="457">
      <c r="A457" t="inlineStr">
        <is>
          <t>S003-상추</t>
        </is>
      </c>
      <c r="B457" t="inlineStr">
        <is>
          <t>부산 사하구 농장</t>
        </is>
      </c>
      <c r="C457" t="inlineStr">
        <is>
          <t>상추</t>
        </is>
      </c>
      <c r="D457" t="inlineStr">
        <is>
          <t>4. 조명·냉난방</t>
        </is>
      </c>
      <c r="E457" t="inlineStr">
        <is>
          <t>필요 조명전력</t>
        </is>
      </c>
      <c r="F457" s="10" t="n">
        <v>60171.42857142857</v>
      </c>
      <c r="G457" t="inlineStr">
        <is>
          <t>W</t>
        </is>
      </c>
    </row>
    <row r="458">
      <c r="A458" t="inlineStr">
        <is>
          <t>S003-상추</t>
        </is>
      </c>
      <c r="B458" t="inlineStr">
        <is>
          <t>부산 사하구 농장</t>
        </is>
      </c>
      <c r="C458" t="inlineStr">
        <is>
          <t>상추</t>
        </is>
      </c>
      <c r="D458" t="inlineStr">
        <is>
          <t>4. 조명·냉난방</t>
        </is>
      </c>
      <c r="E458" t="inlineStr">
        <is>
          <t>월 조명전력량</t>
        </is>
      </c>
      <c r="F458" s="10" t="n">
        <v>27453.21428571429</v>
      </c>
      <c r="G458" t="inlineStr">
        <is>
          <t>kWh</t>
        </is>
      </c>
    </row>
    <row r="459">
      <c r="A459" t="inlineStr">
        <is>
          <t>S003-상추</t>
        </is>
      </c>
      <c r="B459" t="inlineStr">
        <is>
          <t>부산 사하구 농장</t>
        </is>
      </c>
      <c r="C459" t="inlineStr">
        <is>
          <t>상추</t>
        </is>
      </c>
      <c r="D459" t="inlineStr">
        <is>
          <t>5. 습도</t>
        </is>
      </c>
      <c r="E459" t="inlineStr">
        <is>
          <t>월 증발산량</t>
        </is>
      </c>
      <c r="F459" s="10" t="n">
        <v>81993.60000000001</v>
      </c>
      <c r="G459" t="inlineStr">
        <is>
          <t>kg</t>
        </is>
      </c>
    </row>
    <row r="460">
      <c r="A460" t="inlineStr">
        <is>
          <t>S003-상추</t>
        </is>
      </c>
      <c r="B460" t="inlineStr">
        <is>
          <t>부산 사하구 농장</t>
        </is>
      </c>
      <c r="C460" t="inlineStr">
        <is>
          <t>상추</t>
        </is>
      </c>
      <c r="D460" t="inlineStr">
        <is>
          <t>6. 전기비</t>
        </is>
      </c>
      <c r="E460" t="inlineStr">
        <is>
          <t>월평균 총 전력량</t>
        </is>
      </c>
      <c r="F460" s="10" t="n">
        <v>70687.7183044821</v>
      </c>
      <c r="G460" t="inlineStr">
        <is>
          <t>kWh</t>
        </is>
      </c>
    </row>
    <row r="461">
      <c r="A461" t="inlineStr">
        <is>
          <t>S003-상추</t>
        </is>
      </c>
      <c r="B461" t="inlineStr">
        <is>
          <t>부산 사하구 농장</t>
        </is>
      </c>
      <c r="C461" t="inlineStr">
        <is>
          <t>상추</t>
        </is>
      </c>
      <c r="D461" t="inlineStr">
        <is>
          <t>6. 전기비</t>
        </is>
      </c>
      <c r="E461" t="inlineStr">
        <is>
          <t>월 전기비</t>
        </is>
      </c>
      <c r="F461" s="8" t="n">
        <v>10956596.33719473</v>
      </c>
      <c r="G461" t="inlineStr">
        <is>
          <t>원</t>
        </is>
      </c>
    </row>
    <row r="462">
      <c r="A462" t="inlineStr">
        <is>
          <t>S003-상추</t>
        </is>
      </c>
      <c r="B462" t="inlineStr">
        <is>
          <t>부산 사하구 농장</t>
        </is>
      </c>
      <c r="C462" t="inlineStr">
        <is>
          <t>상추</t>
        </is>
      </c>
      <c r="D462" t="inlineStr">
        <is>
          <t>7. 수도비</t>
        </is>
      </c>
      <c r="E462" t="inlineStr">
        <is>
          <t>배액률</t>
        </is>
      </c>
      <c r="F462" s="11" t="n">
        <v>0.3</v>
      </c>
      <c r="G462" t="inlineStr">
        <is>
          <t>%</t>
        </is>
      </c>
    </row>
    <row r="463">
      <c r="A463" t="inlineStr">
        <is>
          <t>S003-상추</t>
        </is>
      </c>
      <c r="B463" t="inlineStr">
        <is>
          <t>부산 사하구 농장</t>
        </is>
      </c>
      <c r="C463" t="inlineStr">
        <is>
          <t>상추</t>
        </is>
      </c>
      <c r="D463" t="inlineStr">
        <is>
          <t>7. 수도비</t>
        </is>
      </c>
      <c r="E463" t="inlineStr">
        <is>
          <t>월 작물 순소비량</t>
        </is>
      </c>
      <c r="F463" s="10" t="n">
        <v>81.9936</v>
      </c>
      <c r="G463" t="inlineStr">
        <is>
          <t>m³</t>
        </is>
      </c>
    </row>
    <row r="464">
      <c r="A464" t="inlineStr">
        <is>
          <t>S003-상추</t>
        </is>
      </c>
      <c r="B464" t="inlineStr">
        <is>
          <t>부산 사하구 농장</t>
        </is>
      </c>
      <c r="C464" t="inlineStr">
        <is>
          <t>상추</t>
        </is>
      </c>
      <c r="D464" t="inlineStr">
        <is>
          <t>7. 수도비</t>
        </is>
      </c>
      <c r="E464" t="inlineStr">
        <is>
          <t>월 배액량</t>
        </is>
      </c>
      <c r="F464" s="10" t="n">
        <v>35.1401142857143</v>
      </c>
      <c r="G464" t="inlineStr">
        <is>
          <t>m³</t>
        </is>
      </c>
    </row>
    <row r="465">
      <c r="A465" t="inlineStr">
        <is>
          <t>S003-상추</t>
        </is>
      </c>
      <c r="B465" t="inlineStr">
        <is>
          <t>부산 사하구 농장</t>
        </is>
      </c>
      <c r="C465" t="inlineStr">
        <is>
          <t>상추</t>
        </is>
      </c>
      <c r="D465" t="inlineStr">
        <is>
          <t>7. 수도비</t>
        </is>
      </c>
      <c r="E465" t="inlineStr">
        <is>
          <t>월 작물 관수량</t>
        </is>
      </c>
      <c r="F465" s="10" t="n">
        <v>117.1337142857143</v>
      </c>
      <c r="G465" t="inlineStr">
        <is>
          <t>m³</t>
        </is>
      </c>
    </row>
    <row r="466">
      <c r="A466" t="inlineStr">
        <is>
          <t>S003-상추</t>
        </is>
      </c>
      <c r="B466" t="inlineStr">
        <is>
          <t>부산 사하구 농장</t>
        </is>
      </c>
      <c r="C466" t="inlineStr">
        <is>
          <t>상추</t>
        </is>
      </c>
      <c r="D466" t="inlineStr">
        <is>
          <t>7. 수도비</t>
        </is>
      </c>
      <c r="E466" t="inlineStr">
        <is>
          <t>월 기타 용수량</t>
        </is>
      </c>
      <c r="F466" s="10" t="n">
        <v>1.971</v>
      </c>
      <c r="G466" t="inlineStr">
        <is>
          <t>m³</t>
        </is>
      </c>
    </row>
    <row r="467">
      <c r="A467" t="inlineStr">
        <is>
          <t>S003-상추</t>
        </is>
      </c>
      <c r="B467" t="inlineStr">
        <is>
          <t>부산 사하구 농장</t>
        </is>
      </c>
      <c r="C467" t="inlineStr">
        <is>
          <t>상추</t>
        </is>
      </c>
      <c r="D467" t="inlineStr">
        <is>
          <t>7. 수도비</t>
        </is>
      </c>
      <c r="E467" t="inlineStr">
        <is>
          <t>월 총 용수량</t>
        </is>
      </c>
      <c r="F467" s="10" t="n">
        <v>119.1047142857143</v>
      </c>
      <c r="G467" t="inlineStr">
        <is>
          <t>m³</t>
        </is>
      </c>
    </row>
    <row r="468">
      <c r="A468" t="inlineStr">
        <is>
          <t>S003-상추</t>
        </is>
      </c>
      <c r="B468" t="inlineStr">
        <is>
          <t>부산 사하구 농장</t>
        </is>
      </c>
      <c r="C468" t="inlineStr">
        <is>
          <t>상추</t>
        </is>
      </c>
      <c r="D468" t="inlineStr">
        <is>
          <t>7. 수도비</t>
        </is>
      </c>
      <c r="E468" t="inlineStr">
        <is>
          <t>월 수도비</t>
        </is>
      </c>
      <c r="F468" s="8" t="n">
        <v>273940.8428571429</v>
      </c>
      <c r="G468" t="inlineStr">
        <is>
          <t>원</t>
        </is>
      </c>
    </row>
    <row r="469">
      <c r="A469" t="inlineStr">
        <is>
          <t>S003-상추</t>
        </is>
      </c>
      <c r="B469" t="inlineStr">
        <is>
          <t>부산 사하구 농장</t>
        </is>
      </c>
      <c r="C469" t="inlineStr">
        <is>
          <t>상추</t>
        </is>
      </c>
      <c r="D469" t="inlineStr">
        <is>
          <t>8. 재료비</t>
        </is>
      </c>
      <c r="E469" t="inlineStr">
        <is>
          <t>면적당 월 환산 모종비</t>
        </is>
      </c>
      <c r="F469" s="8" t="n">
        <v>5000</v>
      </c>
      <c r="G469" t="inlineStr">
        <is>
          <t>원/m²/month</t>
        </is>
      </c>
    </row>
    <row r="470">
      <c r="A470" t="inlineStr">
        <is>
          <t>S003-상추</t>
        </is>
      </c>
      <c r="B470" t="inlineStr">
        <is>
          <t>부산 사하구 농장</t>
        </is>
      </c>
      <c r="C470" t="inlineStr">
        <is>
          <t>상추</t>
        </is>
      </c>
      <c r="D470" t="inlineStr">
        <is>
          <t>8. 재료비</t>
        </is>
      </c>
      <c r="E470" t="inlineStr">
        <is>
          <t>월 모종비</t>
        </is>
      </c>
      <c r="F470" s="8" t="n">
        <v>4212000</v>
      </c>
      <c r="G470" t="inlineStr">
        <is>
          <t>원</t>
        </is>
      </c>
    </row>
    <row r="471">
      <c r="A471" t="inlineStr">
        <is>
          <t>S003-상추</t>
        </is>
      </c>
      <c r="B471" t="inlineStr">
        <is>
          <t>부산 사하구 농장</t>
        </is>
      </c>
      <c r="C471" t="inlineStr">
        <is>
          <t>상추</t>
        </is>
      </c>
      <c r="D471" t="inlineStr">
        <is>
          <t>8. 재료비</t>
        </is>
      </c>
      <c r="E471" t="inlineStr">
        <is>
          <t>월 양액 사용량</t>
        </is>
      </c>
      <c r="F471" s="10" t="n">
        <v>117.1337142857143</v>
      </c>
      <c r="G471" t="inlineStr">
        <is>
          <t>m³</t>
        </is>
      </c>
    </row>
    <row r="472">
      <c r="A472" t="inlineStr">
        <is>
          <t>S003-상추</t>
        </is>
      </c>
      <c r="B472" t="inlineStr">
        <is>
          <t>부산 사하구 농장</t>
        </is>
      </c>
      <c r="C472" t="inlineStr">
        <is>
          <t>상추</t>
        </is>
      </c>
      <c r="D472" t="inlineStr">
        <is>
          <t>8. 재료비</t>
        </is>
      </c>
      <c r="E472" t="inlineStr">
        <is>
          <t>월 양액비</t>
        </is>
      </c>
      <c r="F472" s="8" t="n">
        <v>2342674.285714286</v>
      </c>
      <c r="G472" t="inlineStr">
        <is>
          <t>원</t>
        </is>
      </c>
    </row>
    <row r="473">
      <c r="A473" t="inlineStr">
        <is>
          <t>S003-상추</t>
        </is>
      </c>
      <c r="B473" t="inlineStr">
        <is>
          <t>부산 사하구 농장</t>
        </is>
      </c>
      <c r="C473" t="inlineStr">
        <is>
          <t>상추</t>
        </is>
      </c>
      <c r="D473" t="inlineStr">
        <is>
          <t>8. 재료비</t>
        </is>
      </c>
      <c r="E473" t="inlineStr">
        <is>
          <t>월 재료비</t>
        </is>
      </c>
      <c r="F473" s="8" t="n">
        <v>6554674.285714285</v>
      </c>
      <c r="G473" t="inlineStr">
        <is>
          <t>원</t>
        </is>
      </c>
    </row>
    <row r="474">
      <c r="A474" t="inlineStr">
        <is>
          <t>S003-상추</t>
        </is>
      </c>
      <c r="B474" t="inlineStr">
        <is>
          <t>부산 사하구 농장</t>
        </is>
      </c>
      <c r="C474" t="inlineStr">
        <is>
          <t>상추</t>
        </is>
      </c>
      <c r="D474" t="inlineStr">
        <is>
          <t>9. 인건비</t>
        </is>
      </c>
      <c r="E474" t="inlineStr">
        <is>
          <t>월 노동시간</t>
        </is>
      </c>
      <c r="F474" s="10" t="n">
        <v>1263.6</v>
      </c>
      <c r="G474" t="inlineStr">
        <is>
          <t>시간</t>
        </is>
      </c>
    </row>
    <row r="475">
      <c r="A475" t="inlineStr">
        <is>
          <t>S003-상추</t>
        </is>
      </c>
      <c r="B475" t="inlineStr">
        <is>
          <t>부산 사하구 농장</t>
        </is>
      </c>
      <c r="C475" t="inlineStr">
        <is>
          <t>상추</t>
        </is>
      </c>
      <c r="D475" t="inlineStr">
        <is>
          <t>9. 인건비</t>
        </is>
      </c>
      <c r="E475" t="inlineStr">
        <is>
          <t>월 인건비</t>
        </is>
      </c>
      <c r="F475" s="8" t="n">
        <v>13040352</v>
      </c>
      <c r="G475" t="inlineStr">
        <is>
          <t>원</t>
        </is>
      </c>
    </row>
    <row r="476">
      <c r="A476" t="inlineStr">
        <is>
          <t>S003-상추</t>
        </is>
      </c>
      <c r="B476" t="inlineStr">
        <is>
          <t>부산 사하구 농장</t>
        </is>
      </c>
      <c r="C476" t="inlineStr">
        <is>
          <t>상추</t>
        </is>
      </c>
      <c r="D476" t="inlineStr">
        <is>
          <t>10. 수익</t>
        </is>
      </c>
      <c r="E476" t="inlineStr">
        <is>
          <t>기기 대여비 적용면적</t>
        </is>
      </c>
      <c r="F476" s="10" t="n">
        <v>210.6</v>
      </c>
      <c r="G476" t="inlineStr">
        <is>
          <t>m²</t>
        </is>
      </c>
    </row>
    <row r="477">
      <c r="A477" t="inlineStr">
        <is>
          <t>S003-상추</t>
        </is>
      </c>
      <c r="B477" t="inlineStr">
        <is>
          <t>부산 사하구 농장</t>
        </is>
      </c>
      <c r="C477" t="inlineStr">
        <is>
          <t>상추</t>
        </is>
      </c>
      <c r="D477" t="inlineStr">
        <is>
          <t>10. 수익</t>
        </is>
      </c>
      <c r="E477" t="inlineStr">
        <is>
          <t>면적당 월 기기 대여비</t>
        </is>
      </c>
      <c r="F477" s="8" t="n">
        <v>22000</v>
      </c>
      <c r="G477" t="inlineStr">
        <is>
          <t>원/m²/month</t>
        </is>
      </c>
    </row>
    <row r="478">
      <c r="A478" t="inlineStr">
        <is>
          <t>S003-상추</t>
        </is>
      </c>
      <c r="B478" t="inlineStr">
        <is>
          <t>부산 사하구 농장</t>
        </is>
      </c>
      <c r="C478" t="inlineStr">
        <is>
          <t>상추</t>
        </is>
      </c>
      <c r="D478" t="inlineStr">
        <is>
          <t>10. 수익</t>
        </is>
      </c>
      <c r="E478" t="inlineStr">
        <is>
          <t>월 기기 대여비</t>
        </is>
      </c>
      <c r="F478" s="8" t="n">
        <v>4633200</v>
      </c>
      <c r="G478" t="inlineStr">
        <is>
          <t>원</t>
        </is>
      </c>
    </row>
    <row r="479">
      <c r="A479" t="inlineStr">
        <is>
          <t>S003-상추</t>
        </is>
      </c>
      <c r="B479" t="inlineStr">
        <is>
          <t>부산 사하구 농장</t>
        </is>
      </c>
      <c r="C479" t="inlineStr">
        <is>
          <t>상추</t>
        </is>
      </c>
      <c r="D479" t="inlineStr">
        <is>
          <t>10. 수익</t>
        </is>
      </c>
      <c r="E479" t="inlineStr">
        <is>
          <t>월 운영비</t>
        </is>
      </c>
      <c r="F479" s="8" t="n">
        <v>35758763.46576615</v>
      </c>
      <c r="G479" t="inlineStr">
        <is>
          <t>원</t>
        </is>
      </c>
    </row>
    <row r="480">
      <c r="A480" t="inlineStr">
        <is>
          <t>S003-상추</t>
        </is>
      </c>
      <c r="B480" t="inlineStr">
        <is>
          <t>부산 사하구 농장</t>
        </is>
      </c>
      <c r="C480" t="inlineStr">
        <is>
          <t>상추</t>
        </is>
      </c>
      <c r="D480" t="inlineStr">
        <is>
          <t>10. 수익</t>
        </is>
      </c>
      <c r="E480" t="inlineStr">
        <is>
          <t>월 영업이익</t>
        </is>
      </c>
      <c r="F480" s="8" t="n">
        <v>-17562923.46576615</v>
      </c>
      <c r="G480" t="inlineStr">
        <is>
          <t>원</t>
        </is>
      </c>
    </row>
    <row r="481">
      <c r="A481" t="inlineStr">
        <is>
          <t>S003-상추</t>
        </is>
      </c>
      <c r="B481" t="inlineStr">
        <is>
          <t>부산 사하구 농장</t>
        </is>
      </c>
      <c r="C481" t="inlineStr">
        <is>
          <t>상추</t>
        </is>
      </c>
      <c r="D481" t="inlineStr">
        <is>
          <t>10. 수익</t>
        </is>
      </c>
      <c r="E481" t="inlineStr">
        <is>
          <t>공간 대여자 예상수익</t>
        </is>
      </c>
      <c r="F481" s="8" t="n">
        <v>-14050338.77261292</v>
      </c>
      <c r="G481" t="inlineStr">
        <is>
          <t>원</t>
        </is>
      </c>
    </row>
    <row r="482">
      <c r="A482" t="inlineStr">
        <is>
          <t>S003-상추</t>
        </is>
      </c>
      <c r="B482" t="inlineStr">
        <is>
          <t>부산 사하구 농장</t>
        </is>
      </c>
      <c r="C482" t="inlineStr">
        <is>
          <t>상추</t>
        </is>
      </c>
      <c r="D482" t="inlineStr">
        <is>
          <t>10. 수익</t>
        </is>
      </c>
      <c r="E482" t="inlineStr">
        <is>
          <t>원하는 월세</t>
        </is>
      </c>
      <c r="F482" s="8" t="n">
        <v>3500000</v>
      </c>
      <c r="G482" t="inlineStr">
        <is>
          <t>원</t>
        </is>
      </c>
    </row>
    <row r="483">
      <c r="A483" t="inlineStr">
        <is>
          <t>S003-상추</t>
        </is>
      </c>
      <c r="B483" t="inlineStr">
        <is>
          <t>부산 사하구 농장</t>
        </is>
      </c>
      <c r="C483" t="inlineStr">
        <is>
          <t>상추</t>
        </is>
      </c>
      <c r="D483" t="inlineStr">
        <is>
          <t>10. 수익</t>
        </is>
      </c>
      <c r="E483" t="inlineStr">
        <is>
          <t>공실 월세 대비 차이</t>
        </is>
      </c>
      <c r="F483" s="8" t="n">
        <v>-17550338.77261292</v>
      </c>
      <c r="G483" t="inlineStr">
        <is>
          <t>원</t>
        </is>
      </c>
    </row>
    <row r="484">
      <c r="A484" t="inlineStr">
        <is>
          <t>S003-상추</t>
        </is>
      </c>
      <c r="B484" t="inlineStr">
        <is>
          <t>부산 사하구 농장</t>
        </is>
      </c>
      <c r="C484" t="inlineStr">
        <is>
          <t>상추</t>
        </is>
      </c>
      <c r="D484" t="inlineStr">
        <is>
          <t>10. 수익</t>
        </is>
      </c>
      <c r="E484" t="inlineStr">
        <is>
          <t>사업장 영업이익</t>
        </is>
      </c>
      <c r="F484" s="8" t="n">
        <v>-3512584.69315323</v>
      </c>
      <c r="G484" t="inlineStr">
        <is>
          <t>원</t>
        </is>
      </c>
    </row>
    <row r="485">
      <c r="A485" t="inlineStr">
        <is>
          <t>S003-딸기</t>
        </is>
      </c>
      <c r="B485" t="inlineStr">
        <is>
          <t>부산 사하구 농장</t>
        </is>
      </c>
      <c r="C485" t="inlineStr">
        <is>
          <t>딸기</t>
        </is>
      </c>
      <c r="D485" t="inlineStr">
        <is>
          <t>1. 공간</t>
        </is>
      </c>
      <c r="E485" t="inlineStr">
        <is>
          <t>공실 전체면적</t>
        </is>
      </c>
      <c r="F485" s="10" t="n">
        <v>324</v>
      </c>
      <c r="G485" t="inlineStr">
        <is>
          <t>m²</t>
        </is>
      </c>
    </row>
    <row r="486">
      <c r="A486" t="inlineStr">
        <is>
          <t>S003-딸기</t>
        </is>
      </c>
      <c r="B486" t="inlineStr">
        <is>
          <t>부산 사하구 농장</t>
        </is>
      </c>
      <c r="C486" t="inlineStr">
        <is>
          <t>딸기</t>
        </is>
      </c>
      <c r="D486" t="inlineStr">
        <is>
          <t>1. 공간</t>
        </is>
      </c>
      <c r="E486" t="inlineStr">
        <is>
          <t>사용가능 바닥면적</t>
        </is>
      </c>
      <c r="F486" s="10" t="n">
        <v>210.6</v>
      </c>
      <c r="G486" t="inlineStr">
        <is>
          <t>m²</t>
        </is>
      </c>
    </row>
    <row r="487">
      <c r="A487" t="inlineStr">
        <is>
          <t>S003-딸기</t>
        </is>
      </c>
      <c r="B487" t="inlineStr">
        <is>
          <t>부산 사하구 농장</t>
        </is>
      </c>
      <c r="C487" t="inlineStr">
        <is>
          <t>딸기</t>
        </is>
      </c>
      <c r="D487" t="inlineStr">
        <is>
          <t>1. 공간</t>
        </is>
      </c>
      <c r="E487" t="inlineStr">
        <is>
          <t>작물별 모듈 층 수</t>
        </is>
      </c>
      <c r="F487" s="8" t="n">
        <v>2</v>
      </c>
      <c r="G487" t="inlineStr">
        <is>
          <t>층</t>
        </is>
      </c>
    </row>
    <row r="488">
      <c r="A488" t="inlineStr">
        <is>
          <t>S003-딸기</t>
        </is>
      </c>
      <c r="B488" t="inlineStr">
        <is>
          <t>부산 사하구 농장</t>
        </is>
      </c>
      <c r="C488" t="inlineStr">
        <is>
          <t>딸기</t>
        </is>
      </c>
      <c r="D488" t="inlineStr">
        <is>
          <t>1. 공간</t>
        </is>
      </c>
      <c r="E488" t="inlineStr">
        <is>
          <t>재배면적</t>
        </is>
      </c>
      <c r="F488" s="10" t="n">
        <v>421.2</v>
      </c>
      <c r="G488" t="inlineStr">
        <is>
          <t>m²</t>
        </is>
      </c>
    </row>
    <row r="489">
      <c r="A489" t="inlineStr">
        <is>
          <t>S003-딸기</t>
        </is>
      </c>
      <c r="B489" t="inlineStr">
        <is>
          <t>부산 사하구 농장</t>
        </is>
      </c>
      <c r="C489" t="inlineStr">
        <is>
          <t>딸기</t>
        </is>
      </c>
      <c r="D489" t="inlineStr">
        <is>
          <t>1. 공간</t>
        </is>
      </c>
      <c r="E489" t="inlineStr">
        <is>
          <t>공간 체적</t>
        </is>
      </c>
      <c r="F489" s="10" t="n">
        <v>810</v>
      </c>
      <c r="G489" t="inlineStr">
        <is>
          <t>m³</t>
        </is>
      </c>
    </row>
    <row r="490">
      <c r="A490" t="inlineStr">
        <is>
          <t>S003-딸기</t>
        </is>
      </c>
      <c r="B490" t="inlineStr">
        <is>
          <t>부산 사하구 농장</t>
        </is>
      </c>
      <c r="C490" t="inlineStr">
        <is>
          <t>딸기</t>
        </is>
      </c>
      <c r="D490" t="inlineStr">
        <is>
          <t>2. 생산</t>
        </is>
      </c>
      <c r="E490" t="inlineStr">
        <is>
          <t>월 총생산량</t>
        </is>
      </c>
      <c r="F490" s="10" t="n">
        <v>842.4</v>
      </c>
      <c r="G490" t="inlineStr">
        <is>
          <t>kg</t>
        </is>
      </c>
    </row>
    <row r="491">
      <c r="A491" t="inlineStr">
        <is>
          <t>S003-딸기</t>
        </is>
      </c>
      <c r="B491" t="inlineStr">
        <is>
          <t>부산 사하구 농장</t>
        </is>
      </c>
      <c r="C491" t="inlineStr">
        <is>
          <t>딸기</t>
        </is>
      </c>
      <c r="D491" t="inlineStr">
        <is>
          <t>2. 생산</t>
        </is>
      </c>
      <c r="E491" t="inlineStr">
        <is>
          <t>월 판매량</t>
        </is>
      </c>
      <c r="F491" s="10" t="n">
        <v>758.16</v>
      </c>
      <c r="G491" t="inlineStr">
        <is>
          <t>kg</t>
        </is>
      </c>
    </row>
    <row r="492">
      <c r="A492" t="inlineStr">
        <is>
          <t>S003-딸기</t>
        </is>
      </c>
      <c r="B492" t="inlineStr">
        <is>
          <t>부산 사하구 농장</t>
        </is>
      </c>
      <c r="C492" t="inlineStr">
        <is>
          <t>딸기</t>
        </is>
      </c>
      <c r="D492" t="inlineStr">
        <is>
          <t>3. 매출</t>
        </is>
      </c>
      <c r="E492" t="inlineStr">
        <is>
          <t>판매가격</t>
        </is>
      </c>
      <c r="F492" s="8" t="n">
        <v>30000</v>
      </c>
      <c r="G492" t="inlineStr">
        <is>
          <t>원/kg</t>
        </is>
      </c>
    </row>
    <row r="493">
      <c r="A493" t="inlineStr">
        <is>
          <t>S003-딸기</t>
        </is>
      </c>
      <c r="B493" t="inlineStr">
        <is>
          <t>부산 사하구 농장</t>
        </is>
      </c>
      <c r="C493" t="inlineStr">
        <is>
          <t>딸기</t>
        </is>
      </c>
      <c r="D493" t="inlineStr">
        <is>
          <t>3. 매출</t>
        </is>
      </c>
      <c r="E493" t="inlineStr">
        <is>
          <t>월 매출</t>
        </is>
      </c>
      <c r="F493" s="8" t="n">
        <v>22744800</v>
      </c>
      <c r="G493" t="inlineStr">
        <is>
          <t>원</t>
        </is>
      </c>
    </row>
    <row r="494">
      <c r="A494" t="inlineStr">
        <is>
          <t>S003-딸기</t>
        </is>
      </c>
      <c r="B494" t="inlineStr">
        <is>
          <t>부산 사하구 농장</t>
        </is>
      </c>
      <c r="C494" t="inlineStr">
        <is>
          <t>딸기</t>
        </is>
      </c>
      <c r="D494" t="inlineStr">
        <is>
          <t>4. 조명·냉난방</t>
        </is>
      </c>
      <c r="E494" t="inlineStr">
        <is>
          <t>필요 조명전력</t>
        </is>
      </c>
      <c r="F494" s="10" t="n">
        <v>37607.14285714286</v>
      </c>
      <c r="G494" t="inlineStr">
        <is>
          <t>W</t>
        </is>
      </c>
    </row>
    <row r="495">
      <c r="A495" t="inlineStr">
        <is>
          <t>S003-딸기</t>
        </is>
      </c>
      <c r="B495" t="inlineStr">
        <is>
          <t>부산 사하구 농장</t>
        </is>
      </c>
      <c r="C495" t="inlineStr">
        <is>
          <t>딸기</t>
        </is>
      </c>
      <c r="D495" t="inlineStr">
        <is>
          <t>4. 조명·냉난방</t>
        </is>
      </c>
      <c r="E495" t="inlineStr">
        <is>
          <t>월 조명전력량</t>
        </is>
      </c>
      <c r="F495" s="10" t="n">
        <v>18302.14285714286</v>
      </c>
      <c r="G495" t="inlineStr">
        <is>
          <t>kWh</t>
        </is>
      </c>
    </row>
    <row r="496">
      <c r="A496" t="inlineStr">
        <is>
          <t>S003-딸기</t>
        </is>
      </c>
      <c r="B496" t="inlineStr">
        <is>
          <t>부산 사하구 농장</t>
        </is>
      </c>
      <c r="C496" t="inlineStr">
        <is>
          <t>딸기</t>
        </is>
      </c>
      <c r="D496" t="inlineStr">
        <is>
          <t>5. 습도</t>
        </is>
      </c>
      <c r="E496" t="inlineStr">
        <is>
          <t>월 증발산량</t>
        </is>
      </c>
      <c r="F496" s="10" t="n">
        <v>11530.35</v>
      </c>
      <c r="G496" t="inlineStr">
        <is>
          <t>kg</t>
        </is>
      </c>
    </row>
    <row r="497">
      <c r="A497" t="inlineStr">
        <is>
          <t>S003-딸기</t>
        </is>
      </c>
      <c r="B497" t="inlineStr">
        <is>
          <t>부산 사하구 농장</t>
        </is>
      </c>
      <c r="C497" t="inlineStr">
        <is>
          <t>딸기</t>
        </is>
      </c>
      <c r="D497" t="inlineStr">
        <is>
          <t>6. 전기비</t>
        </is>
      </c>
      <c r="E497" t="inlineStr">
        <is>
          <t>월평균 총 전력량</t>
        </is>
      </c>
      <c r="F497" s="10" t="n">
        <v>25521.08862271144</v>
      </c>
      <c r="G497" t="inlineStr">
        <is>
          <t>kWh</t>
        </is>
      </c>
    </row>
    <row r="498">
      <c r="A498" t="inlineStr">
        <is>
          <t>S003-딸기</t>
        </is>
      </c>
      <c r="B498" t="inlineStr">
        <is>
          <t>부산 사하구 농장</t>
        </is>
      </c>
      <c r="C498" t="inlineStr">
        <is>
          <t>딸기</t>
        </is>
      </c>
      <c r="D498" t="inlineStr">
        <is>
          <t>6. 전기비</t>
        </is>
      </c>
      <c r="E498" t="inlineStr">
        <is>
          <t>월 전기비</t>
        </is>
      </c>
      <c r="F498" s="8" t="n">
        <v>3955768.736520273</v>
      </c>
      <c r="G498" t="inlineStr">
        <is>
          <t>원</t>
        </is>
      </c>
    </row>
    <row r="499">
      <c r="A499" t="inlineStr">
        <is>
          <t>S003-딸기</t>
        </is>
      </c>
      <c r="B499" t="inlineStr">
        <is>
          <t>부산 사하구 농장</t>
        </is>
      </c>
      <c r="C499" t="inlineStr">
        <is>
          <t>딸기</t>
        </is>
      </c>
      <c r="D499" t="inlineStr">
        <is>
          <t>7. 수도비</t>
        </is>
      </c>
      <c r="E499" t="inlineStr">
        <is>
          <t>배액률</t>
        </is>
      </c>
      <c r="F499" s="11" t="n">
        <v>0.3</v>
      </c>
      <c r="G499" t="inlineStr">
        <is>
          <t>%</t>
        </is>
      </c>
    </row>
    <row r="500">
      <c r="A500" t="inlineStr">
        <is>
          <t>S003-딸기</t>
        </is>
      </c>
      <c r="B500" t="inlineStr">
        <is>
          <t>부산 사하구 농장</t>
        </is>
      </c>
      <c r="C500" t="inlineStr">
        <is>
          <t>딸기</t>
        </is>
      </c>
      <c r="D500" t="inlineStr">
        <is>
          <t>7. 수도비</t>
        </is>
      </c>
      <c r="E500" t="inlineStr">
        <is>
          <t>월 작물 순소비량</t>
        </is>
      </c>
      <c r="F500" s="10" t="n">
        <v>11.53035</v>
      </c>
      <c r="G500" t="inlineStr">
        <is>
          <t>m³</t>
        </is>
      </c>
    </row>
    <row r="501">
      <c r="A501" t="inlineStr">
        <is>
          <t>S003-딸기</t>
        </is>
      </c>
      <c r="B501" t="inlineStr">
        <is>
          <t>부산 사하구 농장</t>
        </is>
      </c>
      <c r="C501" t="inlineStr">
        <is>
          <t>딸기</t>
        </is>
      </c>
      <c r="D501" t="inlineStr">
        <is>
          <t>7. 수도비</t>
        </is>
      </c>
      <c r="E501" t="inlineStr">
        <is>
          <t>월 배액량</t>
        </is>
      </c>
      <c r="F501" s="10" t="n">
        <v>4.941578571428572</v>
      </c>
      <c r="G501" t="inlineStr">
        <is>
          <t>m³</t>
        </is>
      </c>
    </row>
    <row r="502">
      <c r="A502" t="inlineStr">
        <is>
          <t>S003-딸기</t>
        </is>
      </c>
      <c r="B502" t="inlineStr">
        <is>
          <t>부산 사하구 농장</t>
        </is>
      </c>
      <c r="C502" t="inlineStr">
        <is>
          <t>딸기</t>
        </is>
      </c>
      <c r="D502" t="inlineStr">
        <is>
          <t>7. 수도비</t>
        </is>
      </c>
      <c r="E502" t="inlineStr">
        <is>
          <t>월 작물 관수량</t>
        </is>
      </c>
      <c r="F502" s="10" t="n">
        <v>16.47192857142857</v>
      </c>
      <c r="G502" t="inlineStr">
        <is>
          <t>m³</t>
        </is>
      </c>
    </row>
    <row r="503">
      <c r="A503" t="inlineStr">
        <is>
          <t>S003-딸기</t>
        </is>
      </c>
      <c r="B503" t="inlineStr">
        <is>
          <t>부산 사하구 농장</t>
        </is>
      </c>
      <c r="C503" t="inlineStr">
        <is>
          <t>딸기</t>
        </is>
      </c>
      <c r="D503" t="inlineStr">
        <is>
          <t>7. 수도비</t>
        </is>
      </c>
      <c r="E503" t="inlineStr">
        <is>
          <t>월 기타 용수량</t>
        </is>
      </c>
      <c r="F503" s="10" t="n">
        <v>1.971</v>
      </c>
      <c r="G503" t="inlineStr">
        <is>
          <t>m³</t>
        </is>
      </c>
    </row>
    <row r="504">
      <c r="A504" t="inlineStr">
        <is>
          <t>S003-딸기</t>
        </is>
      </c>
      <c r="B504" t="inlineStr">
        <is>
          <t>부산 사하구 농장</t>
        </is>
      </c>
      <c r="C504" t="inlineStr">
        <is>
          <t>딸기</t>
        </is>
      </c>
      <c r="D504" t="inlineStr">
        <is>
          <t>7. 수도비</t>
        </is>
      </c>
      <c r="E504" t="inlineStr">
        <is>
          <t>월 총 용수량</t>
        </is>
      </c>
      <c r="F504" s="10" t="n">
        <v>18.44292857142857</v>
      </c>
      <c r="G504" t="inlineStr">
        <is>
          <t>m³</t>
        </is>
      </c>
    </row>
    <row r="505">
      <c r="A505" t="inlineStr">
        <is>
          <t>S003-딸기</t>
        </is>
      </c>
      <c r="B505" t="inlineStr">
        <is>
          <t>부산 사하구 농장</t>
        </is>
      </c>
      <c r="C505" t="inlineStr">
        <is>
          <t>딸기</t>
        </is>
      </c>
      <c r="D505" t="inlineStr">
        <is>
          <t>7. 수도비</t>
        </is>
      </c>
      <c r="E505" t="inlineStr">
        <is>
          <t>월 수도비</t>
        </is>
      </c>
      <c r="F505" s="8" t="n">
        <v>42418.73571428572</v>
      </c>
      <c r="G505" t="inlineStr">
        <is>
          <t>원</t>
        </is>
      </c>
    </row>
    <row r="506">
      <c r="A506" t="inlineStr">
        <is>
          <t>S003-딸기</t>
        </is>
      </c>
      <c r="B506" t="inlineStr">
        <is>
          <t>부산 사하구 농장</t>
        </is>
      </c>
      <c r="C506" t="inlineStr">
        <is>
          <t>딸기</t>
        </is>
      </c>
      <c r="D506" t="inlineStr">
        <is>
          <t>8. 재료비</t>
        </is>
      </c>
      <c r="E506" t="inlineStr">
        <is>
          <t>면적당 월 환산 모종비</t>
        </is>
      </c>
      <c r="F506" s="8" t="n">
        <v>3750</v>
      </c>
      <c r="G506" t="inlineStr">
        <is>
          <t>원/m²/month</t>
        </is>
      </c>
    </row>
    <row r="507">
      <c r="A507" t="inlineStr">
        <is>
          <t>S003-딸기</t>
        </is>
      </c>
      <c r="B507" t="inlineStr">
        <is>
          <t>부산 사하구 농장</t>
        </is>
      </c>
      <c r="C507" t="inlineStr">
        <is>
          <t>딸기</t>
        </is>
      </c>
      <c r="D507" t="inlineStr">
        <is>
          <t>8. 재료비</t>
        </is>
      </c>
      <c r="E507" t="inlineStr">
        <is>
          <t>월 모종비</t>
        </is>
      </c>
      <c r="F507" s="8" t="n">
        <v>1579500</v>
      </c>
      <c r="G507" t="inlineStr">
        <is>
          <t>원</t>
        </is>
      </c>
    </row>
    <row r="508">
      <c r="A508" t="inlineStr">
        <is>
          <t>S003-딸기</t>
        </is>
      </c>
      <c r="B508" t="inlineStr">
        <is>
          <t>부산 사하구 농장</t>
        </is>
      </c>
      <c r="C508" t="inlineStr">
        <is>
          <t>딸기</t>
        </is>
      </c>
      <c r="D508" t="inlineStr">
        <is>
          <t>8. 재료비</t>
        </is>
      </c>
      <c r="E508" t="inlineStr">
        <is>
          <t>월 양액 사용량</t>
        </is>
      </c>
      <c r="F508" s="10" t="n">
        <v>16.47192857142857</v>
      </c>
      <c r="G508" t="inlineStr">
        <is>
          <t>m³</t>
        </is>
      </c>
    </row>
    <row r="509">
      <c r="A509" t="inlineStr">
        <is>
          <t>S003-딸기</t>
        </is>
      </c>
      <c r="B509" t="inlineStr">
        <is>
          <t>부산 사하구 농장</t>
        </is>
      </c>
      <c r="C509" t="inlineStr">
        <is>
          <t>딸기</t>
        </is>
      </c>
      <c r="D509" t="inlineStr">
        <is>
          <t>8. 재료비</t>
        </is>
      </c>
      <c r="E509" t="inlineStr">
        <is>
          <t>월 양액비</t>
        </is>
      </c>
      <c r="F509" s="8" t="n">
        <v>329438.5714285715</v>
      </c>
      <c r="G509" t="inlineStr">
        <is>
          <t>원</t>
        </is>
      </c>
    </row>
    <row r="510">
      <c r="A510" t="inlineStr">
        <is>
          <t>S003-딸기</t>
        </is>
      </c>
      <c r="B510" t="inlineStr">
        <is>
          <t>부산 사하구 농장</t>
        </is>
      </c>
      <c r="C510" t="inlineStr">
        <is>
          <t>딸기</t>
        </is>
      </c>
      <c r="D510" t="inlineStr">
        <is>
          <t>8. 재료비</t>
        </is>
      </c>
      <c r="E510" t="inlineStr">
        <is>
          <t>월 재료비</t>
        </is>
      </c>
      <c r="F510" s="8" t="n">
        <v>1908938.571428571</v>
      </c>
      <c r="G510" t="inlineStr">
        <is>
          <t>원</t>
        </is>
      </c>
    </row>
    <row r="511">
      <c r="A511" t="inlineStr">
        <is>
          <t>S003-딸기</t>
        </is>
      </c>
      <c r="B511" t="inlineStr">
        <is>
          <t>부산 사하구 농장</t>
        </is>
      </c>
      <c r="C511" t="inlineStr">
        <is>
          <t>딸기</t>
        </is>
      </c>
      <c r="D511" t="inlineStr">
        <is>
          <t>9. 인건비</t>
        </is>
      </c>
      <c r="E511" t="inlineStr">
        <is>
          <t>월 노동시간</t>
        </is>
      </c>
      <c r="F511" s="10" t="n">
        <v>421.2</v>
      </c>
      <c r="G511" t="inlineStr">
        <is>
          <t>시간</t>
        </is>
      </c>
    </row>
    <row r="512">
      <c r="A512" t="inlineStr">
        <is>
          <t>S003-딸기</t>
        </is>
      </c>
      <c r="B512" t="inlineStr">
        <is>
          <t>부산 사하구 농장</t>
        </is>
      </c>
      <c r="C512" t="inlineStr">
        <is>
          <t>딸기</t>
        </is>
      </c>
      <c r="D512" t="inlineStr">
        <is>
          <t>9. 인건비</t>
        </is>
      </c>
      <c r="E512" t="inlineStr">
        <is>
          <t>월 인건비</t>
        </is>
      </c>
      <c r="F512" s="8" t="n">
        <v>4346784</v>
      </c>
      <c r="G512" t="inlineStr">
        <is>
          <t>원</t>
        </is>
      </c>
    </row>
    <row r="513">
      <c r="A513" t="inlineStr">
        <is>
          <t>S003-딸기</t>
        </is>
      </c>
      <c r="B513" t="inlineStr">
        <is>
          <t>부산 사하구 농장</t>
        </is>
      </c>
      <c r="C513" t="inlineStr">
        <is>
          <t>딸기</t>
        </is>
      </c>
      <c r="D513" t="inlineStr">
        <is>
          <t>10. 수익</t>
        </is>
      </c>
      <c r="E513" t="inlineStr">
        <is>
          <t>기기 대여비 적용면적</t>
        </is>
      </c>
      <c r="F513" s="10" t="n">
        <v>210.6</v>
      </c>
      <c r="G513" t="inlineStr">
        <is>
          <t>m²</t>
        </is>
      </c>
    </row>
    <row r="514">
      <c r="A514" t="inlineStr">
        <is>
          <t>S003-딸기</t>
        </is>
      </c>
      <c r="B514" t="inlineStr">
        <is>
          <t>부산 사하구 농장</t>
        </is>
      </c>
      <c r="C514" t="inlineStr">
        <is>
          <t>딸기</t>
        </is>
      </c>
      <c r="D514" t="inlineStr">
        <is>
          <t>10. 수익</t>
        </is>
      </c>
      <c r="E514" t="inlineStr">
        <is>
          <t>면적당 월 기기 대여비</t>
        </is>
      </c>
      <c r="F514" s="8" t="n">
        <v>22000</v>
      </c>
      <c r="G514" t="inlineStr">
        <is>
          <t>원/m²/month</t>
        </is>
      </c>
    </row>
    <row r="515">
      <c r="A515" t="inlineStr">
        <is>
          <t>S003-딸기</t>
        </is>
      </c>
      <c r="B515" t="inlineStr">
        <is>
          <t>부산 사하구 농장</t>
        </is>
      </c>
      <c r="C515" t="inlineStr">
        <is>
          <t>딸기</t>
        </is>
      </c>
      <c r="D515" t="inlineStr">
        <is>
          <t>10. 수익</t>
        </is>
      </c>
      <c r="E515" t="inlineStr">
        <is>
          <t>월 기기 대여비</t>
        </is>
      </c>
      <c r="F515" s="8" t="n">
        <v>4633200</v>
      </c>
      <c r="G515" t="inlineStr">
        <is>
          <t>원</t>
        </is>
      </c>
    </row>
    <row r="516">
      <c r="A516" t="inlineStr">
        <is>
          <t>S003-딸기</t>
        </is>
      </c>
      <c r="B516" t="inlineStr">
        <is>
          <t>부산 사하구 농장</t>
        </is>
      </c>
      <c r="C516" t="inlineStr">
        <is>
          <t>딸기</t>
        </is>
      </c>
      <c r="D516" t="inlineStr">
        <is>
          <t>10. 수익</t>
        </is>
      </c>
      <c r="E516" t="inlineStr">
        <is>
          <t>월 운영비</t>
        </is>
      </c>
      <c r="F516" s="8" t="n">
        <v>15187110.04366313</v>
      </c>
      <c r="G516" t="inlineStr">
        <is>
          <t>원</t>
        </is>
      </c>
    </row>
    <row r="517">
      <c r="A517" t="inlineStr">
        <is>
          <t>S003-딸기</t>
        </is>
      </c>
      <c r="B517" t="inlineStr">
        <is>
          <t>부산 사하구 농장</t>
        </is>
      </c>
      <c r="C517" t="inlineStr">
        <is>
          <t>딸기</t>
        </is>
      </c>
      <c r="D517" t="inlineStr">
        <is>
          <t>10. 수익</t>
        </is>
      </c>
      <c r="E517" t="inlineStr">
        <is>
          <t>월 영업이익</t>
        </is>
      </c>
      <c r="F517" s="8" t="n">
        <v>7557689.956336871</v>
      </c>
      <c r="G517" t="inlineStr">
        <is>
          <t>원</t>
        </is>
      </c>
    </row>
    <row r="518">
      <c r="A518" t="inlineStr">
        <is>
          <t>S003-딸기</t>
        </is>
      </c>
      <c r="B518" t="inlineStr">
        <is>
          <t>부산 사하구 농장</t>
        </is>
      </c>
      <c r="C518" t="inlineStr">
        <is>
          <t>딸기</t>
        </is>
      </c>
      <c r="D518" t="inlineStr">
        <is>
          <t>10. 수익</t>
        </is>
      </c>
      <c r="E518" t="inlineStr">
        <is>
          <t>공간 대여자 예상수익</t>
        </is>
      </c>
      <c r="F518" s="8" t="n">
        <v>6046151.965069497</v>
      </c>
      <c r="G518" t="inlineStr">
        <is>
          <t>원</t>
        </is>
      </c>
    </row>
    <row r="519">
      <c r="A519" t="inlineStr">
        <is>
          <t>S003-딸기</t>
        </is>
      </c>
      <c r="B519" t="inlineStr">
        <is>
          <t>부산 사하구 농장</t>
        </is>
      </c>
      <c r="C519" t="inlineStr">
        <is>
          <t>딸기</t>
        </is>
      </c>
      <c r="D519" t="inlineStr">
        <is>
          <t>10. 수익</t>
        </is>
      </c>
      <c r="E519" t="inlineStr">
        <is>
          <t>원하는 월세</t>
        </is>
      </c>
      <c r="F519" s="8" t="n">
        <v>3500000</v>
      </c>
      <c r="G519" t="inlineStr">
        <is>
          <t>원</t>
        </is>
      </c>
    </row>
    <row r="520">
      <c r="A520" t="inlineStr">
        <is>
          <t>S003-딸기</t>
        </is>
      </c>
      <c r="B520" t="inlineStr">
        <is>
          <t>부산 사하구 농장</t>
        </is>
      </c>
      <c r="C520" t="inlineStr">
        <is>
          <t>딸기</t>
        </is>
      </c>
      <c r="D520" t="inlineStr">
        <is>
          <t>10. 수익</t>
        </is>
      </c>
      <c r="E520" t="inlineStr">
        <is>
          <t>공실 월세 대비 차이</t>
        </is>
      </c>
      <c r="F520" s="8" t="n">
        <v>2546151.965069497</v>
      </c>
      <c r="G520" t="inlineStr">
        <is>
          <t>원</t>
        </is>
      </c>
    </row>
    <row r="521">
      <c r="A521" t="inlineStr">
        <is>
          <t>S003-딸기</t>
        </is>
      </c>
      <c r="B521" t="inlineStr">
        <is>
          <t>부산 사하구 농장</t>
        </is>
      </c>
      <c r="C521" t="inlineStr">
        <is>
          <t>딸기</t>
        </is>
      </c>
      <c r="D521" t="inlineStr">
        <is>
          <t>10. 수익</t>
        </is>
      </c>
      <c r="E521" t="inlineStr">
        <is>
          <t>사업장 영업이익</t>
        </is>
      </c>
      <c r="F521" s="8" t="n">
        <v>1511537.991267374</v>
      </c>
      <c r="G521" t="inlineStr">
        <is>
          <t>원</t>
        </is>
      </c>
    </row>
    <row r="522">
      <c r="A522" t="inlineStr">
        <is>
          <t>S003-바질</t>
        </is>
      </c>
      <c r="B522" t="inlineStr">
        <is>
          <t>부산 사하구 농장</t>
        </is>
      </c>
      <c r="C522" t="inlineStr">
        <is>
          <t>바질</t>
        </is>
      </c>
      <c r="D522" t="inlineStr">
        <is>
          <t>1. 공간</t>
        </is>
      </c>
      <c r="E522" t="inlineStr">
        <is>
          <t>공실 전체면적</t>
        </is>
      </c>
      <c r="F522" s="10" t="n">
        <v>324</v>
      </c>
      <c r="G522" t="inlineStr">
        <is>
          <t>m²</t>
        </is>
      </c>
    </row>
    <row r="523">
      <c r="A523" t="inlineStr">
        <is>
          <t>S003-바질</t>
        </is>
      </c>
      <c r="B523" t="inlineStr">
        <is>
          <t>부산 사하구 농장</t>
        </is>
      </c>
      <c r="C523" t="inlineStr">
        <is>
          <t>바질</t>
        </is>
      </c>
      <c r="D523" t="inlineStr">
        <is>
          <t>1. 공간</t>
        </is>
      </c>
      <c r="E523" t="inlineStr">
        <is>
          <t>사용가능 바닥면적</t>
        </is>
      </c>
      <c r="F523" s="10" t="n">
        <v>210.6</v>
      </c>
      <c r="G523" t="inlineStr">
        <is>
          <t>m²</t>
        </is>
      </c>
    </row>
    <row r="524">
      <c r="A524" t="inlineStr">
        <is>
          <t>S003-바질</t>
        </is>
      </c>
      <c r="B524" t="inlineStr">
        <is>
          <t>부산 사하구 농장</t>
        </is>
      </c>
      <c r="C524" t="inlineStr">
        <is>
          <t>바질</t>
        </is>
      </c>
      <c r="D524" t="inlineStr">
        <is>
          <t>1. 공간</t>
        </is>
      </c>
      <c r="E524" t="inlineStr">
        <is>
          <t>작물별 모듈 층 수</t>
        </is>
      </c>
      <c r="F524" s="8" t="n">
        <v>3</v>
      </c>
      <c r="G524" t="inlineStr">
        <is>
          <t>층</t>
        </is>
      </c>
    </row>
    <row r="525">
      <c r="A525" t="inlineStr">
        <is>
          <t>S003-바질</t>
        </is>
      </c>
      <c r="B525" t="inlineStr">
        <is>
          <t>부산 사하구 농장</t>
        </is>
      </c>
      <c r="C525" t="inlineStr">
        <is>
          <t>바질</t>
        </is>
      </c>
      <c r="D525" t="inlineStr">
        <is>
          <t>1. 공간</t>
        </is>
      </c>
      <c r="E525" t="inlineStr">
        <is>
          <t>재배면적</t>
        </is>
      </c>
      <c r="F525" s="10" t="n">
        <v>631.8</v>
      </c>
      <c r="G525" t="inlineStr">
        <is>
          <t>m²</t>
        </is>
      </c>
    </row>
    <row r="526">
      <c r="A526" t="inlineStr">
        <is>
          <t>S003-바질</t>
        </is>
      </c>
      <c r="B526" t="inlineStr">
        <is>
          <t>부산 사하구 농장</t>
        </is>
      </c>
      <c r="C526" t="inlineStr">
        <is>
          <t>바질</t>
        </is>
      </c>
      <c r="D526" t="inlineStr">
        <is>
          <t>1. 공간</t>
        </is>
      </c>
      <c r="E526" t="inlineStr">
        <is>
          <t>공간 체적</t>
        </is>
      </c>
      <c r="F526" s="10" t="n">
        <v>810</v>
      </c>
      <c r="G526" t="inlineStr">
        <is>
          <t>m³</t>
        </is>
      </c>
    </row>
    <row r="527">
      <c r="A527" t="inlineStr">
        <is>
          <t>S003-바질</t>
        </is>
      </c>
      <c r="B527" t="inlineStr">
        <is>
          <t>부산 사하구 농장</t>
        </is>
      </c>
      <c r="C527" t="inlineStr">
        <is>
          <t>바질</t>
        </is>
      </c>
      <c r="D527" t="inlineStr">
        <is>
          <t>2. 생산</t>
        </is>
      </c>
      <c r="E527" t="inlineStr">
        <is>
          <t>월 총생산량</t>
        </is>
      </c>
      <c r="F527" s="10" t="n">
        <v>1516.32</v>
      </c>
      <c r="G527" t="inlineStr">
        <is>
          <t>kg</t>
        </is>
      </c>
    </row>
    <row r="528">
      <c r="A528" t="inlineStr">
        <is>
          <t>S003-바질</t>
        </is>
      </c>
      <c r="B528" t="inlineStr">
        <is>
          <t>부산 사하구 농장</t>
        </is>
      </c>
      <c r="C528" t="inlineStr">
        <is>
          <t>바질</t>
        </is>
      </c>
      <c r="D528" t="inlineStr">
        <is>
          <t>2. 생산</t>
        </is>
      </c>
      <c r="E528" t="inlineStr">
        <is>
          <t>월 판매량</t>
        </is>
      </c>
      <c r="F528" s="10" t="n">
        <v>1364.688</v>
      </c>
      <c r="G528" t="inlineStr">
        <is>
          <t>kg</t>
        </is>
      </c>
    </row>
    <row r="529">
      <c r="A529" t="inlineStr">
        <is>
          <t>S003-바질</t>
        </is>
      </c>
      <c r="B529" t="inlineStr">
        <is>
          <t>부산 사하구 농장</t>
        </is>
      </c>
      <c r="C529" t="inlineStr">
        <is>
          <t>바질</t>
        </is>
      </c>
      <c r="D529" t="inlineStr">
        <is>
          <t>3. 매출</t>
        </is>
      </c>
      <c r="E529" t="inlineStr">
        <is>
          <t>판매가격</t>
        </is>
      </c>
      <c r="F529" s="8" t="n">
        <v>25000</v>
      </c>
      <c r="G529" t="inlineStr">
        <is>
          <t>원/kg</t>
        </is>
      </c>
    </row>
    <row r="530">
      <c r="A530" t="inlineStr">
        <is>
          <t>S003-바질</t>
        </is>
      </c>
      <c r="B530" t="inlineStr">
        <is>
          <t>부산 사하구 농장</t>
        </is>
      </c>
      <c r="C530" t="inlineStr">
        <is>
          <t>바질</t>
        </is>
      </c>
      <c r="D530" t="inlineStr">
        <is>
          <t>3. 매출</t>
        </is>
      </c>
      <c r="E530" t="inlineStr">
        <is>
          <t>월 매출</t>
        </is>
      </c>
      <c r="F530" s="8" t="n">
        <v>34117200</v>
      </c>
      <c r="G530" t="inlineStr">
        <is>
          <t>원</t>
        </is>
      </c>
    </row>
    <row r="531">
      <c r="A531" t="inlineStr">
        <is>
          <t>S003-바질</t>
        </is>
      </c>
      <c r="B531" t="inlineStr">
        <is>
          <t>부산 사하구 농장</t>
        </is>
      </c>
      <c r="C531" t="inlineStr">
        <is>
          <t>바질</t>
        </is>
      </c>
      <c r="D531" t="inlineStr">
        <is>
          <t>4. 조명·냉난방</t>
        </is>
      </c>
      <c r="E531" t="inlineStr">
        <is>
          <t>필요 조명전력</t>
        </is>
      </c>
      <c r="F531" s="10" t="n">
        <v>56410.71428571429</v>
      </c>
      <c r="G531" t="inlineStr">
        <is>
          <t>W</t>
        </is>
      </c>
    </row>
    <row r="532">
      <c r="A532" t="inlineStr">
        <is>
          <t>S003-바질</t>
        </is>
      </c>
      <c r="B532" t="inlineStr">
        <is>
          <t>부산 사하구 농장</t>
        </is>
      </c>
      <c r="C532" t="inlineStr">
        <is>
          <t>바질</t>
        </is>
      </c>
      <c r="D532" t="inlineStr">
        <is>
          <t>4. 조명·냉난방</t>
        </is>
      </c>
      <c r="E532" t="inlineStr">
        <is>
          <t>월 조명전력량</t>
        </is>
      </c>
      <c r="F532" s="10" t="n">
        <v>27453.21428571429</v>
      </c>
      <c r="G532" t="inlineStr">
        <is>
          <t>kWh</t>
        </is>
      </c>
    </row>
    <row r="533">
      <c r="A533" t="inlineStr">
        <is>
          <t>S003-바질</t>
        </is>
      </c>
      <c r="B533" t="inlineStr">
        <is>
          <t>부산 사하구 농장</t>
        </is>
      </c>
      <c r="C533" t="inlineStr">
        <is>
          <t>바질</t>
        </is>
      </c>
      <c r="D533" t="inlineStr">
        <is>
          <t>5. 습도</t>
        </is>
      </c>
      <c r="E533" t="inlineStr">
        <is>
          <t>월 증발산량</t>
        </is>
      </c>
      <c r="F533" s="10" t="n">
        <v>21138.975</v>
      </c>
      <c r="G533" t="inlineStr">
        <is>
          <t>kg</t>
        </is>
      </c>
    </row>
    <row r="534">
      <c r="A534" t="inlineStr">
        <is>
          <t>S003-바질</t>
        </is>
      </c>
      <c r="B534" t="inlineStr">
        <is>
          <t>부산 사하구 농장</t>
        </is>
      </c>
      <c r="C534" t="inlineStr">
        <is>
          <t>바질</t>
        </is>
      </c>
      <c r="D534" t="inlineStr">
        <is>
          <t>6. 전기비</t>
        </is>
      </c>
      <c r="E534" t="inlineStr">
        <is>
          <t>월평균 총 전력량</t>
        </is>
      </c>
      <c r="F534" s="10" t="n">
        <v>40158.99340447282</v>
      </c>
      <c r="G534" t="inlineStr">
        <is>
          <t>kWh</t>
        </is>
      </c>
    </row>
    <row r="535">
      <c r="A535" t="inlineStr">
        <is>
          <t>S003-바질</t>
        </is>
      </c>
      <c r="B535" t="inlineStr">
        <is>
          <t>부산 사하구 농장</t>
        </is>
      </c>
      <c r="C535" t="inlineStr">
        <is>
          <t>바질</t>
        </is>
      </c>
      <c r="D535" t="inlineStr">
        <is>
          <t>6. 전기비</t>
        </is>
      </c>
      <c r="E535" t="inlineStr">
        <is>
          <t>월 전기비</t>
        </is>
      </c>
      <c r="F535" s="8" t="n">
        <v>6224643.977693288</v>
      </c>
      <c r="G535" t="inlineStr">
        <is>
          <t>원</t>
        </is>
      </c>
    </row>
    <row r="536">
      <c r="A536" t="inlineStr">
        <is>
          <t>S003-바질</t>
        </is>
      </c>
      <c r="B536" t="inlineStr">
        <is>
          <t>부산 사하구 농장</t>
        </is>
      </c>
      <c r="C536" t="inlineStr">
        <is>
          <t>바질</t>
        </is>
      </c>
      <c r="D536" t="inlineStr">
        <is>
          <t>7. 수도비</t>
        </is>
      </c>
      <c r="E536" t="inlineStr">
        <is>
          <t>배액률</t>
        </is>
      </c>
      <c r="F536" s="11" t="n">
        <v>0.3</v>
      </c>
      <c r="G536" t="inlineStr">
        <is>
          <t>%</t>
        </is>
      </c>
    </row>
    <row r="537">
      <c r="A537" t="inlineStr">
        <is>
          <t>S003-바질</t>
        </is>
      </c>
      <c r="B537" t="inlineStr">
        <is>
          <t>부산 사하구 농장</t>
        </is>
      </c>
      <c r="C537" t="inlineStr">
        <is>
          <t>바질</t>
        </is>
      </c>
      <c r="D537" t="inlineStr">
        <is>
          <t>7. 수도비</t>
        </is>
      </c>
      <c r="E537" t="inlineStr">
        <is>
          <t>월 작물 순소비량</t>
        </is>
      </c>
      <c r="F537" s="10" t="n">
        <v>21.138975</v>
      </c>
      <c r="G537" t="inlineStr">
        <is>
          <t>m³</t>
        </is>
      </c>
    </row>
    <row r="538">
      <c r="A538" t="inlineStr">
        <is>
          <t>S003-바질</t>
        </is>
      </c>
      <c r="B538" t="inlineStr">
        <is>
          <t>부산 사하구 농장</t>
        </is>
      </c>
      <c r="C538" t="inlineStr">
        <is>
          <t>바질</t>
        </is>
      </c>
      <c r="D538" t="inlineStr">
        <is>
          <t>7. 수도비</t>
        </is>
      </c>
      <c r="E538" t="inlineStr">
        <is>
          <t>월 배액량</t>
        </is>
      </c>
      <c r="F538" s="10" t="n">
        <v>9.05956071428572</v>
      </c>
      <c r="G538" t="inlineStr">
        <is>
          <t>m³</t>
        </is>
      </c>
    </row>
    <row r="539">
      <c r="A539" t="inlineStr">
        <is>
          <t>S003-바질</t>
        </is>
      </c>
      <c r="B539" t="inlineStr">
        <is>
          <t>부산 사하구 농장</t>
        </is>
      </c>
      <c r="C539" t="inlineStr">
        <is>
          <t>바질</t>
        </is>
      </c>
      <c r="D539" t="inlineStr">
        <is>
          <t>7. 수도비</t>
        </is>
      </c>
      <c r="E539" t="inlineStr">
        <is>
          <t>월 작물 관수량</t>
        </is>
      </c>
      <c r="F539" s="10" t="n">
        <v>30.19853571428572</v>
      </c>
      <c r="G539" t="inlineStr">
        <is>
          <t>m³</t>
        </is>
      </c>
    </row>
    <row r="540">
      <c r="A540" t="inlineStr">
        <is>
          <t>S003-바질</t>
        </is>
      </c>
      <c r="B540" t="inlineStr">
        <is>
          <t>부산 사하구 농장</t>
        </is>
      </c>
      <c r="C540" t="inlineStr">
        <is>
          <t>바질</t>
        </is>
      </c>
      <c r="D540" t="inlineStr">
        <is>
          <t>7. 수도비</t>
        </is>
      </c>
      <c r="E540" t="inlineStr">
        <is>
          <t>월 기타 용수량</t>
        </is>
      </c>
      <c r="F540" s="10" t="n">
        <v>1.971</v>
      </c>
      <c r="G540" t="inlineStr">
        <is>
          <t>m³</t>
        </is>
      </c>
    </row>
    <row r="541">
      <c r="A541" t="inlineStr">
        <is>
          <t>S003-바질</t>
        </is>
      </c>
      <c r="B541" t="inlineStr">
        <is>
          <t>부산 사하구 농장</t>
        </is>
      </c>
      <c r="C541" t="inlineStr">
        <is>
          <t>바질</t>
        </is>
      </c>
      <c r="D541" t="inlineStr">
        <is>
          <t>7. 수도비</t>
        </is>
      </c>
      <c r="E541" t="inlineStr">
        <is>
          <t>월 총 용수량</t>
        </is>
      </c>
      <c r="F541" s="10" t="n">
        <v>32.16953571428572</v>
      </c>
      <c r="G541" t="inlineStr">
        <is>
          <t>m³</t>
        </is>
      </c>
    </row>
    <row r="542">
      <c r="A542" t="inlineStr">
        <is>
          <t>S003-바질</t>
        </is>
      </c>
      <c r="B542" t="inlineStr">
        <is>
          <t>부산 사하구 농장</t>
        </is>
      </c>
      <c r="C542" t="inlineStr">
        <is>
          <t>바질</t>
        </is>
      </c>
      <c r="D542" t="inlineStr">
        <is>
          <t>7. 수도비</t>
        </is>
      </c>
      <c r="E542" t="inlineStr">
        <is>
          <t>월 수도비</t>
        </is>
      </c>
      <c r="F542" s="8" t="n">
        <v>73989.93214285716</v>
      </c>
      <c r="G542" t="inlineStr">
        <is>
          <t>원</t>
        </is>
      </c>
    </row>
    <row r="543">
      <c r="A543" t="inlineStr">
        <is>
          <t>S003-바질</t>
        </is>
      </c>
      <c r="B543" t="inlineStr">
        <is>
          <t>부산 사하구 농장</t>
        </is>
      </c>
      <c r="C543" t="inlineStr">
        <is>
          <t>바질</t>
        </is>
      </c>
      <c r="D543" t="inlineStr">
        <is>
          <t>8. 재료비</t>
        </is>
      </c>
      <c r="E543" t="inlineStr">
        <is>
          <t>면적당 월 환산 모종비</t>
        </is>
      </c>
      <c r="F543" s="8" t="n">
        <v>5000</v>
      </c>
      <c r="G543" t="inlineStr">
        <is>
          <t>원/m²/month</t>
        </is>
      </c>
    </row>
    <row r="544">
      <c r="A544" t="inlineStr">
        <is>
          <t>S003-바질</t>
        </is>
      </c>
      <c r="B544" t="inlineStr">
        <is>
          <t>부산 사하구 농장</t>
        </is>
      </c>
      <c r="C544" t="inlineStr">
        <is>
          <t>바질</t>
        </is>
      </c>
      <c r="D544" t="inlineStr">
        <is>
          <t>8. 재료비</t>
        </is>
      </c>
      <c r="E544" t="inlineStr">
        <is>
          <t>월 모종비</t>
        </is>
      </c>
      <c r="F544" s="8" t="n">
        <v>3159000</v>
      </c>
      <c r="G544" t="inlineStr">
        <is>
          <t>원</t>
        </is>
      </c>
    </row>
    <row r="545">
      <c r="A545" t="inlineStr">
        <is>
          <t>S003-바질</t>
        </is>
      </c>
      <c r="B545" t="inlineStr">
        <is>
          <t>부산 사하구 농장</t>
        </is>
      </c>
      <c r="C545" t="inlineStr">
        <is>
          <t>바질</t>
        </is>
      </c>
      <c r="D545" t="inlineStr">
        <is>
          <t>8. 재료비</t>
        </is>
      </c>
      <c r="E545" t="inlineStr">
        <is>
          <t>월 양액 사용량</t>
        </is>
      </c>
      <c r="F545" s="10" t="n">
        <v>30.19853571428572</v>
      </c>
      <c r="G545" t="inlineStr">
        <is>
          <t>m³</t>
        </is>
      </c>
    </row>
    <row r="546">
      <c r="A546" t="inlineStr">
        <is>
          <t>S003-바질</t>
        </is>
      </c>
      <c r="B546" t="inlineStr">
        <is>
          <t>부산 사하구 농장</t>
        </is>
      </c>
      <c r="C546" t="inlineStr">
        <is>
          <t>바질</t>
        </is>
      </c>
      <c r="D546" t="inlineStr">
        <is>
          <t>8. 재료비</t>
        </is>
      </c>
      <c r="E546" t="inlineStr">
        <is>
          <t>월 양액비</t>
        </is>
      </c>
      <c r="F546" s="8" t="n">
        <v>603970.7142857144</v>
      </c>
      <c r="G546" t="inlineStr">
        <is>
          <t>원</t>
        </is>
      </c>
    </row>
    <row r="547">
      <c r="A547" t="inlineStr">
        <is>
          <t>S003-바질</t>
        </is>
      </c>
      <c r="B547" t="inlineStr">
        <is>
          <t>부산 사하구 농장</t>
        </is>
      </c>
      <c r="C547" t="inlineStr">
        <is>
          <t>바질</t>
        </is>
      </c>
      <c r="D547" t="inlineStr">
        <is>
          <t>8. 재료비</t>
        </is>
      </c>
      <c r="E547" t="inlineStr">
        <is>
          <t>월 재료비</t>
        </is>
      </c>
      <c r="F547" s="8" t="n">
        <v>3762970.714285715</v>
      </c>
      <c r="G547" t="inlineStr">
        <is>
          <t>원</t>
        </is>
      </c>
    </row>
    <row r="548">
      <c r="A548" t="inlineStr">
        <is>
          <t>S003-바질</t>
        </is>
      </c>
      <c r="B548" t="inlineStr">
        <is>
          <t>부산 사하구 농장</t>
        </is>
      </c>
      <c r="C548" t="inlineStr">
        <is>
          <t>바질</t>
        </is>
      </c>
      <c r="D548" t="inlineStr">
        <is>
          <t>9. 인건비</t>
        </is>
      </c>
      <c r="E548" t="inlineStr">
        <is>
          <t>월 노동시간</t>
        </is>
      </c>
      <c r="F548" s="10" t="n">
        <v>758.1600000000001</v>
      </c>
      <c r="G548" t="inlineStr">
        <is>
          <t>시간</t>
        </is>
      </c>
    </row>
    <row r="549">
      <c r="A549" t="inlineStr">
        <is>
          <t>S003-바질</t>
        </is>
      </c>
      <c r="B549" t="inlineStr">
        <is>
          <t>부산 사하구 농장</t>
        </is>
      </c>
      <c r="C549" t="inlineStr">
        <is>
          <t>바질</t>
        </is>
      </c>
      <c r="D549" t="inlineStr">
        <is>
          <t>9. 인건비</t>
        </is>
      </c>
      <c r="E549" t="inlineStr">
        <is>
          <t>월 인건비</t>
        </is>
      </c>
      <c r="F549" s="8" t="n">
        <v>7824211.200000001</v>
      </c>
      <c r="G549" t="inlineStr">
        <is>
          <t>원</t>
        </is>
      </c>
    </row>
    <row r="550">
      <c r="A550" t="inlineStr">
        <is>
          <t>S003-바질</t>
        </is>
      </c>
      <c r="B550" t="inlineStr">
        <is>
          <t>부산 사하구 농장</t>
        </is>
      </c>
      <c r="C550" t="inlineStr">
        <is>
          <t>바질</t>
        </is>
      </c>
      <c r="D550" t="inlineStr">
        <is>
          <t>10. 수익</t>
        </is>
      </c>
      <c r="E550" t="inlineStr">
        <is>
          <t>기기 대여비 적용면적</t>
        </is>
      </c>
      <c r="F550" s="10" t="n">
        <v>210.6</v>
      </c>
      <c r="G550" t="inlineStr">
        <is>
          <t>m²</t>
        </is>
      </c>
    </row>
    <row r="551">
      <c r="A551" t="inlineStr">
        <is>
          <t>S003-바질</t>
        </is>
      </c>
      <c r="B551" t="inlineStr">
        <is>
          <t>부산 사하구 농장</t>
        </is>
      </c>
      <c r="C551" t="inlineStr">
        <is>
          <t>바질</t>
        </is>
      </c>
      <c r="D551" t="inlineStr">
        <is>
          <t>10. 수익</t>
        </is>
      </c>
      <c r="E551" t="inlineStr">
        <is>
          <t>면적당 월 기기 대여비</t>
        </is>
      </c>
      <c r="F551" s="8" t="n">
        <v>22000</v>
      </c>
      <c r="G551" t="inlineStr">
        <is>
          <t>원/m²/month</t>
        </is>
      </c>
    </row>
    <row r="552">
      <c r="A552" t="inlineStr">
        <is>
          <t>S003-바질</t>
        </is>
      </c>
      <c r="B552" t="inlineStr">
        <is>
          <t>부산 사하구 농장</t>
        </is>
      </c>
      <c r="C552" t="inlineStr">
        <is>
          <t>바질</t>
        </is>
      </c>
      <c r="D552" t="inlineStr">
        <is>
          <t>10. 수익</t>
        </is>
      </c>
      <c r="E552" t="inlineStr">
        <is>
          <t>월 기기 대여비</t>
        </is>
      </c>
      <c r="F552" s="8" t="n">
        <v>4633200</v>
      </c>
      <c r="G552" t="inlineStr">
        <is>
          <t>원</t>
        </is>
      </c>
    </row>
    <row r="553">
      <c r="A553" t="inlineStr">
        <is>
          <t>S003-바질</t>
        </is>
      </c>
      <c r="B553" t="inlineStr">
        <is>
          <t>부산 사하구 농장</t>
        </is>
      </c>
      <c r="C553" t="inlineStr">
        <is>
          <t>바질</t>
        </is>
      </c>
      <c r="D553" t="inlineStr">
        <is>
          <t>10. 수익</t>
        </is>
      </c>
      <c r="E553" t="inlineStr">
        <is>
          <t>월 운영비</t>
        </is>
      </c>
      <c r="F553" s="8" t="n">
        <v>22819015.82412186</v>
      </c>
      <c r="G553" t="inlineStr">
        <is>
          <t>원</t>
        </is>
      </c>
    </row>
    <row r="554">
      <c r="A554" t="inlineStr">
        <is>
          <t>S003-바질</t>
        </is>
      </c>
      <c r="B554" t="inlineStr">
        <is>
          <t>부산 사하구 농장</t>
        </is>
      </c>
      <c r="C554" t="inlineStr">
        <is>
          <t>바질</t>
        </is>
      </c>
      <c r="D554" t="inlineStr">
        <is>
          <t>10. 수익</t>
        </is>
      </c>
      <c r="E554" t="inlineStr">
        <is>
          <t>월 영업이익</t>
        </is>
      </c>
      <c r="F554" s="8" t="n">
        <v>11298184.17587814</v>
      </c>
      <c r="G554" t="inlineStr">
        <is>
          <t>원</t>
        </is>
      </c>
    </row>
    <row r="555">
      <c r="A555" t="inlineStr">
        <is>
          <t>S003-바질</t>
        </is>
      </c>
      <c r="B555" t="inlineStr">
        <is>
          <t>부산 사하구 농장</t>
        </is>
      </c>
      <c r="C555" t="inlineStr">
        <is>
          <t>바질</t>
        </is>
      </c>
      <c r="D555" t="inlineStr">
        <is>
          <t>10. 수익</t>
        </is>
      </c>
      <c r="E555" t="inlineStr">
        <is>
          <t>공간 대여자 예상수익</t>
        </is>
      </c>
      <c r="F555" s="8" t="n">
        <v>9038547.34070251</v>
      </c>
      <c r="G555" t="inlineStr">
        <is>
          <t>원</t>
        </is>
      </c>
    </row>
    <row r="556">
      <c r="A556" t="inlineStr">
        <is>
          <t>S003-바질</t>
        </is>
      </c>
      <c r="B556" t="inlineStr">
        <is>
          <t>부산 사하구 농장</t>
        </is>
      </c>
      <c r="C556" t="inlineStr">
        <is>
          <t>바질</t>
        </is>
      </c>
      <c r="D556" t="inlineStr">
        <is>
          <t>10. 수익</t>
        </is>
      </c>
      <c r="E556" t="inlineStr">
        <is>
          <t>원하는 월세</t>
        </is>
      </c>
      <c r="F556" s="8" t="n">
        <v>3500000</v>
      </c>
      <c r="G556" t="inlineStr">
        <is>
          <t>원</t>
        </is>
      </c>
    </row>
    <row r="557">
      <c r="A557" t="inlineStr">
        <is>
          <t>S003-바질</t>
        </is>
      </c>
      <c r="B557" t="inlineStr">
        <is>
          <t>부산 사하구 농장</t>
        </is>
      </c>
      <c r="C557" t="inlineStr">
        <is>
          <t>바질</t>
        </is>
      </c>
      <c r="D557" t="inlineStr">
        <is>
          <t>10. 수익</t>
        </is>
      </c>
      <c r="E557" t="inlineStr">
        <is>
          <t>공실 월세 대비 차이</t>
        </is>
      </c>
      <c r="F557" s="8" t="n">
        <v>5538547.34070251</v>
      </c>
      <c r="G557" t="inlineStr">
        <is>
          <t>원</t>
        </is>
      </c>
    </row>
    <row r="558">
      <c r="A558" t="inlineStr">
        <is>
          <t>S003-바질</t>
        </is>
      </c>
      <c r="B558" t="inlineStr">
        <is>
          <t>부산 사하구 농장</t>
        </is>
      </c>
      <c r="C558" t="inlineStr">
        <is>
          <t>바질</t>
        </is>
      </c>
      <c r="D558" t="inlineStr">
        <is>
          <t>10. 수익</t>
        </is>
      </c>
      <c r="E558" t="inlineStr">
        <is>
          <t>사업장 영업이익</t>
        </is>
      </c>
      <c r="F558" s="8" t="n">
        <v>2259636.835175628</v>
      </c>
      <c r="G558" t="inlineStr">
        <is>
          <t>원</t>
        </is>
      </c>
    </row>
    <row r="559">
      <c r="A559" t="inlineStr">
        <is>
          <t>S003-애플민트</t>
        </is>
      </c>
      <c r="B559" t="inlineStr">
        <is>
          <t>부산 사하구 농장</t>
        </is>
      </c>
      <c r="C559" t="inlineStr">
        <is>
          <t>애플민트</t>
        </is>
      </c>
      <c r="D559" t="inlineStr">
        <is>
          <t>1. 공간</t>
        </is>
      </c>
      <c r="E559" t="inlineStr">
        <is>
          <t>공실 전체면적</t>
        </is>
      </c>
      <c r="F559" s="10" t="n">
        <v>324</v>
      </c>
      <c r="G559" t="inlineStr">
        <is>
          <t>m²</t>
        </is>
      </c>
    </row>
    <row r="560">
      <c r="A560" t="inlineStr">
        <is>
          <t>S003-애플민트</t>
        </is>
      </c>
      <c r="B560" t="inlineStr">
        <is>
          <t>부산 사하구 농장</t>
        </is>
      </c>
      <c r="C560" t="inlineStr">
        <is>
          <t>애플민트</t>
        </is>
      </c>
      <c r="D560" t="inlineStr">
        <is>
          <t>1. 공간</t>
        </is>
      </c>
      <c r="E560" t="inlineStr">
        <is>
          <t>사용가능 바닥면적</t>
        </is>
      </c>
      <c r="F560" s="10" t="n">
        <v>210.6</v>
      </c>
      <c r="G560" t="inlineStr">
        <is>
          <t>m²</t>
        </is>
      </c>
    </row>
    <row r="561">
      <c r="A561" t="inlineStr">
        <is>
          <t>S003-애플민트</t>
        </is>
      </c>
      <c r="B561" t="inlineStr">
        <is>
          <t>부산 사하구 농장</t>
        </is>
      </c>
      <c r="C561" t="inlineStr">
        <is>
          <t>애플민트</t>
        </is>
      </c>
      <c r="D561" t="inlineStr">
        <is>
          <t>1. 공간</t>
        </is>
      </c>
      <c r="E561" t="inlineStr">
        <is>
          <t>작물별 모듈 층 수</t>
        </is>
      </c>
      <c r="F561" s="8" t="n">
        <v>4</v>
      </c>
      <c r="G561" t="inlineStr">
        <is>
          <t>층</t>
        </is>
      </c>
    </row>
    <row r="562">
      <c r="A562" t="inlineStr">
        <is>
          <t>S003-애플민트</t>
        </is>
      </c>
      <c r="B562" t="inlineStr">
        <is>
          <t>부산 사하구 농장</t>
        </is>
      </c>
      <c r="C562" t="inlineStr">
        <is>
          <t>애플민트</t>
        </is>
      </c>
      <c r="D562" t="inlineStr">
        <is>
          <t>1. 공간</t>
        </is>
      </c>
      <c r="E562" t="inlineStr">
        <is>
          <t>재배면적</t>
        </is>
      </c>
      <c r="F562" s="10" t="n">
        <v>842.4</v>
      </c>
      <c r="G562" t="inlineStr">
        <is>
          <t>m²</t>
        </is>
      </c>
    </row>
    <row r="563">
      <c r="A563" t="inlineStr">
        <is>
          <t>S003-애플민트</t>
        </is>
      </c>
      <c r="B563" t="inlineStr">
        <is>
          <t>부산 사하구 농장</t>
        </is>
      </c>
      <c r="C563" t="inlineStr">
        <is>
          <t>애플민트</t>
        </is>
      </c>
      <c r="D563" t="inlineStr">
        <is>
          <t>1. 공간</t>
        </is>
      </c>
      <c r="E563" t="inlineStr">
        <is>
          <t>공간 체적</t>
        </is>
      </c>
      <c r="F563" s="10" t="n">
        <v>810</v>
      </c>
      <c r="G563" t="inlineStr">
        <is>
          <t>m³</t>
        </is>
      </c>
    </row>
    <row r="564">
      <c r="A564" t="inlineStr">
        <is>
          <t>S003-애플민트</t>
        </is>
      </c>
      <c r="B564" t="inlineStr">
        <is>
          <t>부산 사하구 농장</t>
        </is>
      </c>
      <c r="C564" t="inlineStr">
        <is>
          <t>애플민트</t>
        </is>
      </c>
      <c r="D564" t="inlineStr">
        <is>
          <t>2. 생산</t>
        </is>
      </c>
      <c r="E564" t="inlineStr">
        <is>
          <t>월 총생산량</t>
        </is>
      </c>
      <c r="F564" s="10" t="n">
        <v>1145.664</v>
      </c>
      <c r="G564" t="inlineStr">
        <is>
          <t>kg</t>
        </is>
      </c>
    </row>
    <row r="565">
      <c r="A565" t="inlineStr">
        <is>
          <t>S003-애플민트</t>
        </is>
      </c>
      <c r="B565" t="inlineStr">
        <is>
          <t>부산 사하구 농장</t>
        </is>
      </c>
      <c r="C565" t="inlineStr">
        <is>
          <t>애플민트</t>
        </is>
      </c>
      <c r="D565" t="inlineStr">
        <is>
          <t>2. 생산</t>
        </is>
      </c>
      <c r="E565" t="inlineStr">
        <is>
          <t>월 판매량</t>
        </is>
      </c>
      <c r="F565" s="10" t="n">
        <v>1031.0976</v>
      </c>
      <c r="G565" t="inlineStr">
        <is>
          <t>kg</t>
        </is>
      </c>
    </row>
    <row r="566">
      <c r="A566" t="inlineStr">
        <is>
          <t>S003-애플민트</t>
        </is>
      </c>
      <c r="B566" t="inlineStr">
        <is>
          <t>부산 사하구 농장</t>
        </is>
      </c>
      <c r="C566" t="inlineStr">
        <is>
          <t>애플민트</t>
        </is>
      </c>
      <c r="D566" t="inlineStr">
        <is>
          <t>3. 매출</t>
        </is>
      </c>
      <c r="E566" t="inlineStr">
        <is>
          <t>판매가격</t>
        </is>
      </c>
      <c r="F566" s="8" t="n">
        <v>60000</v>
      </c>
      <c r="G566" t="inlineStr">
        <is>
          <t>원/kg</t>
        </is>
      </c>
    </row>
    <row r="567">
      <c r="A567" t="inlineStr">
        <is>
          <t>S003-애플민트</t>
        </is>
      </c>
      <c r="B567" t="inlineStr">
        <is>
          <t>부산 사하구 농장</t>
        </is>
      </c>
      <c r="C567" t="inlineStr">
        <is>
          <t>애플민트</t>
        </is>
      </c>
      <c r="D567" t="inlineStr">
        <is>
          <t>3. 매출</t>
        </is>
      </c>
      <c r="E567" t="inlineStr">
        <is>
          <t>월 매출</t>
        </is>
      </c>
      <c r="F567" s="8" t="n">
        <v>61865856</v>
      </c>
      <c r="G567" t="inlineStr">
        <is>
          <t>원</t>
        </is>
      </c>
    </row>
    <row r="568">
      <c r="A568" t="inlineStr">
        <is>
          <t>S003-애플민트</t>
        </is>
      </c>
      <c r="B568" t="inlineStr">
        <is>
          <t>부산 사하구 농장</t>
        </is>
      </c>
      <c r="C568" t="inlineStr">
        <is>
          <t>애플민트</t>
        </is>
      </c>
      <c r="D568" t="inlineStr">
        <is>
          <t>4. 조명·냉난방</t>
        </is>
      </c>
      <c r="E568" t="inlineStr">
        <is>
          <t>필요 조명전력</t>
        </is>
      </c>
      <c r="F568" s="10" t="n">
        <v>51145.71428571429</v>
      </c>
      <c r="G568" t="inlineStr">
        <is>
          <t>W</t>
        </is>
      </c>
    </row>
    <row r="569">
      <c r="A569" t="inlineStr">
        <is>
          <t>S003-애플민트</t>
        </is>
      </c>
      <c r="B569" t="inlineStr">
        <is>
          <t>부산 사하구 농장</t>
        </is>
      </c>
      <c r="C569" t="inlineStr">
        <is>
          <t>애플민트</t>
        </is>
      </c>
      <c r="D569" t="inlineStr">
        <is>
          <t>4. 조명·냉난방</t>
        </is>
      </c>
      <c r="E569" t="inlineStr">
        <is>
          <t>월 조명전력량</t>
        </is>
      </c>
      <c r="F569" s="10" t="n">
        <v>18668.18571428572</v>
      </c>
      <c r="G569" t="inlineStr">
        <is>
          <t>kWh</t>
        </is>
      </c>
    </row>
    <row r="570">
      <c r="A570" t="inlineStr">
        <is>
          <t>S003-애플민트</t>
        </is>
      </c>
      <c r="B570" t="inlineStr">
        <is>
          <t>부산 사하구 농장</t>
        </is>
      </c>
      <c r="C570" t="inlineStr">
        <is>
          <t>애플민트</t>
        </is>
      </c>
      <c r="D570" t="inlineStr">
        <is>
          <t>5. 습도</t>
        </is>
      </c>
      <c r="E570" t="inlineStr">
        <is>
          <t>월 증발산량</t>
        </is>
      </c>
      <c r="F570" s="10" t="n">
        <v>56370.60000000001</v>
      </c>
      <c r="G570" t="inlineStr">
        <is>
          <t>kg</t>
        </is>
      </c>
    </row>
    <row r="571">
      <c r="A571" t="inlineStr">
        <is>
          <t>S003-애플민트</t>
        </is>
      </c>
      <c r="B571" t="inlineStr">
        <is>
          <t>부산 사하구 농장</t>
        </is>
      </c>
      <c r="C571" t="inlineStr">
        <is>
          <t>애플민트</t>
        </is>
      </c>
      <c r="D571" t="inlineStr">
        <is>
          <t>6. 전기비</t>
        </is>
      </c>
      <c r="E571" t="inlineStr">
        <is>
          <t>월평균 총 전력량</t>
        </is>
      </c>
      <c r="F571" s="10" t="n">
        <v>48368.08260076225</v>
      </c>
      <c r="G571" t="inlineStr">
        <is>
          <t>kWh</t>
        </is>
      </c>
    </row>
    <row r="572">
      <c r="A572" t="inlineStr">
        <is>
          <t>S003-애플민트</t>
        </is>
      </c>
      <c r="B572" t="inlineStr">
        <is>
          <t>부산 사하구 농장</t>
        </is>
      </c>
      <c r="C572" t="inlineStr">
        <is>
          <t>애플민트</t>
        </is>
      </c>
      <c r="D572" t="inlineStr">
        <is>
          <t>6. 전기비</t>
        </is>
      </c>
      <c r="E572" t="inlineStr">
        <is>
          <t>월 전기비</t>
        </is>
      </c>
      <c r="F572" s="8" t="n">
        <v>7497052.803118148</v>
      </c>
      <c r="G572" t="inlineStr">
        <is>
          <t>원</t>
        </is>
      </c>
    </row>
    <row r="573">
      <c r="A573" t="inlineStr">
        <is>
          <t>S003-애플민트</t>
        </is>
      </c>
      <c r="B573" t="inlineStr">
        <is>
          <t>부산 사하구 농장</t>
        </is>
      </c>
      <c r="C573" t="inlineStr">
        <is>
          <t>애플민트</t>
        </is>
      </c>
      <c r="D573" t="inlineStr">
        <is>
          <t>7. 수도비</t>
        </is>
      </c>
      <c r="E573" t="inlineStr">
        <is>
          <t>배액률</t>
        </is>
      </c>
      <c r="F573" s="11" t="n">
        <v>0.3</v>
      </c>
      <c r="G573" t="inlineStr">
        <is>
          <t>%</t>
        </is>
      </c>
    </row>
    <row r="574">
      <c r="A574" t="inlineStr">
        <is>
          <t>S003-애플민트</t>
        </is>
      </c>
      <c r="B574" t="inlineStr">
        <is>
          <t>부산 사하구 농장</t>
        </is>
      </c>
      <c r="C574" t="inlineStr">
        <is>
          <t>애플민트</t>
        </is>
      </c>
      <c r="D574" t="inlineStr">
        <is>
          <t>7. 수도비</t>
        </is>
      </c>
      <c r="E574" t="inlineStr">
        <is>
          <t>월 작물 순소비량</t>
        </is>
      </c>
      <c r="F574" s="10" t="n">
        <v>56.3706</v>
      </c>
      <c r="G574" t="inlineStr">
        <is>
          <t>m³</t>
        </is>
      </c>
    </row>
    <row r="575">
      <c r="A575" t="inlineStr">
        <is>
          <t>S003-애플민트</t>
        </is>
      </c>
      <c r="B575" t="inlineStr">
        <is>
          <t>부산 사하구 농장</t>
        </is>
      </c>
      <c r="C575" t="inlineStr">
        <is>
          <t>애플민트</t>
        </is>
      </c>
      <c r="D575" t="inlineStr">
        <is>
          <t>7. 수도비</t>
        </is>
      </c>
      <c r="E575" t="inlineStr">
        <is>
          <t>월 배액량</t>
        </is>
      </c>
      <c r="F575" s="10" t="n">
        <v>24.15882857142858</v>
      </c>
      <c r="G575" t="inlineStr">
        <is>
          <t>m³</t>
        </is>
      </c>
    </row>
    <row r="576">
      <c r="A576" t="inlineStr">
        <is>
          <t>S003-애플민트</t>
        </is>
      </c>
      <c r="B576" t="inlineStr">
        <is>
          <t>부산 사하구 농장</t>
        </is>
      </c>
      <c r="C576" t="inlineStr">
        <is>
          <t>애플민트</t>
        </is>
      </c>
      <c r="D576" t="inlineStr">
        <is>
          <t>7. 수도비</t>
        </is>
      </c>
      <c r="E576" t="inlineStr">
        <is>
          <t>월 작물 관수량</t>
        </is>
      </c>
      <c r="F576" s="10" t="n">
        <v>80.52942857142858</v>
      </c>
      <c r="G576" t="inlineStr">
        <is>
          <t>m³</t>
        </is>
      </c>
    </row>
    <row r="577">
      <c r="A577" t="inlineStr">
        <is>
          <t>S003-애플민트</t>
        </is>
      </c>
      <c r="B577" t="inlineStr">
        <is>
          <t>부산 사하구 농장</t>
        </is>
      </c>
      <c r="C577" t="inlineStr">
        <is>
          <t>애플민트</t>
        </is>
      </c>
      <c r="D577" t="inlineStr">
        <is>
          <t>7. 수도비</t>
        </is>
      </c>
      <c r="E577" t="inlineStr">
        <is>
          <t>월 기타 용수량</t>
        </is>
      </c>
      <c r="F577" s="10" t="n">
        <v>1.971</v>
      </c>
      <c r="G577" t="inlineStr">
        <is>
          <t>m³</t>
        </is>
      </c>
    </row>
    <row r="578">
      <c r="A578" t="inlineStr">
        <is>
          <t>S003-애플민트</t>
        </is>
      </c>
      <c r="B578" t="inlineStr">
        <is>
          <t>부산 사하구 농장</t>
        </is>
      </c>
      <c r="C578" t="inlineStr">
        <is>
          <t>애플민트</t>
        </is>
      </c>
      <c r="D578" t="inlineStr">
        <is>
          <t>7. 수도비</t>
        </is>
      </c>
      <c r="E578" t="inlineStr">
        <is>
          <t>월 총 용수량</t>
        </is>
      </c>
      <c r="F578" s="10" t="n">
        <v>82.50042857142859</v>
      </c>
      <c r="G578" t="inlineStr">
        <is>
          <t>m³</t>
        </is>
      </c>
    </row>
    <row r="579">
      <c r="A579" t="inlineStr">
        <is>
          <t>S003-애플민트</t>
        </is>
      </c>
      <c r="B579" t="inlineStr">
        <is>
          <t>부산 사하구 농장</t>
        </is>
      </c>
      <c r="C579" t="inlineStr">
        <is>
          <t>애플민트</t>
        </is>
      </c>
      <c r="D579" t="inlineStr">
        <is>
          <t>7. 수도비</t>
        </is>
      </c>
      <c r="E579" t="inlineStr">
        <is>
          <t>월 수도비</t>
        </is>
      </c>
      <c r="F579" s="8" t="n">
        <v>189750.9857142858</v>
      </c>
      <c r="G579" t="inlineStr">
        <is>
          <t>원</t>
        </is>
      </c>
    </row>
    <row r="580">
      <c r="A580" t="inlineStr">
        <is>
          <t>S003-애플민트</t>
        </is>
      </c>
      <c r="B580" t="inlineStr">
        <is>
          <t>부산 사하구 농장</t>
        </is>
      </c>
      <c r="C580" t="inlineStr">
        <is>
          <t>애플민트</t>
        </is>
      </c>
      <c r="D580" t="inlineStr">
        <is>
          <t>8. 재료비</t>
        </is>
      </c>
      <c r="E580" t="inlineStr">
        <is>
          <t>면적당 월 환산 모종비</t>
        </is>
      </c>
      <c r="F580" s="8" t="n">
        <v>2000</v>
      </c>
      <c r="G580" t="inlineStr">
        <is>
          <t>원/m²/month</t>
        </is>
      </c>
    </row>
    <row r="581">
      <c r="A581" t="inlineStr">
        <is>
          <t>S003-애플민트</t>
        </is>
      </c>
      <c r="B581" t="inlineStr">
        <is>
          <t>부산 사하구 농장</t>
        </is>
      </c>
      <c r="C581" t="inlineStr">
        <is>
          <t>애플민트</t>
        </is>
      </c>
      <c r="D581" t="inlineStr">
        <is>
          <t>8. 재료비</t>
        </is>
      </c>
      <c r="E581" t="inlineStr">
        <is>
          <t>월 모종비</t>
        </is>
      </c>
      <c r="F581" s="8" t="n">
        <v>1684800</v>
      </c>
      <c r="G581" t="inlineStr">
        <is>
          <t>원</t>
        </is>
      </c>
    </row>
    <row r="582">
      <c r="A582" t="inlineStr">
        <is>
          <t>S003-애플민트</t>
        </is>
      </c>
      <c r="B582" t="inlineStr">
        <is>
          <t>부산 사하구 농장</t>
        </is>
      </c>
      <c r="C582" t="inlineStr">
        <is>
          <t>애플민트</t>
        </is>
      </c>
      <c r="D582" t="inlineStr">
        <is>
          <t>8. 재료비</t>
        </is>
      </c>
      <c r="E582" t="inlineStr">
        <is>
          <t>월 양액 사용량</t>
        </is>
      </c>
      <c r="F582" s="10" t="n">
        <v>80.52942857142858</v>
      </c>
      <c r="G582" t="inlineStr">
        <is>
          <t>m³</t>
        </is>
      </c>
    </row>
    <row r="583">
      <c r="A583" t="inlineStr">
        <is>
          <t>S003-애플민트</t>
        </is>
      </c>
      <c r="B583" t="inlineStr">
        <is>
          <t>부산 사하구 농장</t>
        </is>
      </c>
      <c r="C583" t="inlineStr">
        <is>
          <t>애플민트</t>
        </is>
      </c>
      <c r="D583" t="inlineStr">
        <is>
          <t>8. 재료비</t>
        </is>
      </c>
      <c r="E583" t="inlineStr">
        <is>
          <t>월 양액비</t>
        </is>
      </c>
      <c r="F583" s="8" t="n">
        <v>1610588.571428572</v>
      </c>
      <c r="G583" t="inlineStr">
        <is>
          <t>원</t>
        </is>
      </c>
    </row>
    <row r="584">
      <c r="A584" t="inlineStr">
        <is>
          <t>S003-애플민트</t>
        </is>
      </c>
      <c r="B584" t="inlineStr">
        <is>
          <t>부산 사하구 농장</t>
        </is>
      </c>
      <c r="C584" t="inlineStr">
        <is>
          <t>애플민트</t>
        </is>
      </c>
      <c r="D584" t="inlineStr">
        <is>
          <t>8. 재료비</t>
        </is>
      </c>
      <c r="E584" t="inlineStr">
        <is>
          <t>월 재료비</t>
        </is>
      </c>
      <c r="F584" s="8" t="n">
        <v>3295388.571428572</v>
      </c>
      <c r="G584" t="inlineStr">
        <is>
          <t>원</t>
        </is>
      </c>
    </row>
    <row r="585">
      <c r="A585" t="inlineStr">
        <is>
          <t>S003-애플민트</t>
        </is>
      </c>
      <c r="B585" t="inlineStr">
        <is>
          <t>부산 사하구 농장</t>
        </is>
      </c>
      <c r="C585" t="inlineStr">
        <is>
          <t>애플민트</t>
        </is>
      </c>
      <c r="D585" t="inlineStr">
        <is>
          <t>9. 인건비</t>
        </is>
      </c>
      <c r="E585" t="inlineStr">
        <is>
          <t>월 노동시간</t>
        </is>
      </c>
      <c r="F585" s="10" t="n">
        <v>572.832</v>
      </c>
      <c r="G585" t="inlineStr">
        <is>
          <t>시간</t>
        </is>
      </c>
    </row>
    <row r="586">
      <c r="A586" t="inlineStr">
        <is>
          <t>S003-애플민트</t>
        </is>
      </c>
      <c r="B586" t="inlineStr">
        <is>
          <t>부산 사하구 농장</t>
        </is>
      </c>
      <c r="C586" t="inlineStr">
        <is>
          <t>애플민트</t>
        </is>
      </c>
      <c r="D586" t="inlineStr">
        <is>
          <t>9. 인건비</t>
        </is>
      </c>
      <c r="E586" t="inlineStr">
        <is>
          <t>월 인건비</t>
        </is>
      </c>
      <c r="F586" s="8" t="n">
        <v>5911626.24</v>
      </c>
      <c r="G586" t="inlineStr">
        <is>
          <t>원</t>
        </is>
      </c>
    </row>
    <row r="587">
      <c r="A587" t="inlineStr">
        <is>
          <t>S003-애플민트</t>
        </is>
      </c>
      <c r="B587" t="inlineStr">
        <is>
          <t>부산 사하구 농장</t>
        </is>
      </c>
      <c r="C587" t="inlineStr">
        <is>
          <t>애플민트</t>
        </is>
      </c>
      <c r="D587" t="inlineStr">
        <is>
          <t>10. 수익</t>
        </is>
      </c>
      <c r="E587" t="inlineStr">
        <is>
          <t>기기 대여비 적용면적</t>
        </is>
      </c>
      <c r="F587" s="10" t="n">
        <v>210.6</v>
      </c>
      <c r="G587" t="inlineStr">
        <is>
          <t>m²</t>
        </is>
      </c>
    </row>
    <row r="588">
      <c r="A588" t="inlineStr">
        <is>
          <t>S003-애플민트</t>
        </is>
      </c>
      <c r="B588" t="inlineStr">
        <is>
          <t>부산 사하구 농장</t>
        </is>
      </c>
      <c r="C588" t="inlineStr">
        <is>
          <t>애플민트</t>
        </is>
      </c>
      <c r="D588" t="inlineStr">
        <is>
          <t>10. 수익</t>
        </is>
      </c>
      <c r="E588" t="inlineStr">
        <is>
          <t>면적당 월 기기 대여비</t>
        </is>
      </c>
      <c r="F588" s="8" t="n">
        <v>22000</v>
      </c>
      <c r="G588" t="inlineStr">
        <is>
          <t>원/m²/month</t>
        </is>
      </c>
    </row>
    <row r="589">
      <c r="A589" t="inlineStr">
        <is>
          <t>S003-애플민트</t>
        </is>
      </c>
      <c r="B589" t="inlineStr">
        <is>
          <t>부산 사하구 농장</t>
        </is>
      </c>
      <c r="C589" t="inlineStr">
        <is>
          <t>애플민트</t>
        </is>
      </c>
      <c r="D589" t="inlineStr">
        <is>
          <t>10. 수익</t>
        </is>
      </c>
      <c r="E589" t="inlineStr">
        <is>
          <t>월 기기 대여비</t>
        </is>
      </c>
      <c r="F589" s="8" t="n">
        <v>4633200</v>
      </c>
      <c r="G589" t="inlineStr">
        <is>
          <t>원</t>
        </is>
      </c>
    </row>
    <row r="590">
      <c r="A590" t="inlineStr">
        <is>
          <t>S003-애플민트</t>
        </is>
      </c>
      <c r="B590" t="inlineStr">
        <is>
          <t>부산 사하구 농장</t>
        </is>
      </c>
      <c r="C590" t="inlineStr">
        <is>
          <t>애플민트</t>
        </is>
      </c>
      <c r="D590" t="inlineStr">
        <is>
          <t>10. 수익</t>
        </is>
      </c>
      <c r="E590" t="inlineStr">
        <is>
          <t>월 운영비</t>
        </is>
      </c>
      <c r="F590" s="8" t="n">
        <v>21827018.600261</v>
      </c>
      <c r="G590" t="inlineStr">
        <is>
          <t>원</t>
        </is>
      </c>
    </row>
    <row r="591">
      <c r="A591" t="inlineStr">
        <is>
          <t>S003-애플민트</t>
        </is>
      </c>
      <c r="B591" t="inlineStr">
        <is>
          <t>부산 사하구 농장</t>
        </is>
      </c>
      <c r="C591" t="inlineStr">
        <is>
          <t>애플민트</t>
        </is>
      </c>
      <c r="D591" t="inlineStr">
        <is>
          <t>10. 수익</t>
        </is>
      </c>
      <c r="E591" t="inlineStr">
        <is>
          <t>월 영업이익</t>
        </is>
      </c>
      <c r="F591" s="8" t="n">
        <v>40038837.399739</v>
      </c>
      <c r="G591" t="inlineStr">
        <is>
          <t>원</t>
        </is>
      </c>
    </row>
    <row r="592">
      <c r="A592" t="inlineStr">
        <is>
          <t>S003-애플민트</t>
        </is>
      </c>
      <c r="B592" t="inlineStr">
        <is>
          <t>부산 사하구 농장</t>
        </is>
      </c>
      <c r="C592" t="inlineStr">
        <is>
          <t>애플민트</t>
        </is>
      </c>
      <c r="D592" t="inlineStr">
        <is>
          <t>10. 수익</t>
        </is>
      </c>
      <c r="E592" t="inlineStr">
        <is>
          <t>공간 대여자 예상수익</t>
        </is>
      </c>
      <c r="F592" s="8" t="n">
        <v>32031069.9197912</v>
      </c>
      <c r="G592" t="inlineStr">
        <is>
          <t>원</t>
        </is>
      </c>
    </row>
    <row r="593">
      <c r="A593" t="inlineStr">
        <is>
          <t>S003-애플민트</t>
        </is>
      </c>
      <c r="B593" t="inlineStr">
        <is>
          <t>부산 사하구 농장</t>
        </is>
      </c>
      <c r="C593" t="inlineStr">
        <is>
          <t>애플민트</t>
        </is>
      </c>
      <c r="D593" t="inlineStr">
        <is>
          <t>10. 수익</t>
        </is>
      </c>
      <c r="E593" t="inlineStr">
        <is>
          <t>원하는 월세</t>
        </is>
      </c>
      <c r="F593" s="8" t="n">
        <v>3500000</v>
      </c>
      <c r="G593" t="inlineStr">
        <is>
          <t>원</t>
        </is>
      </c>
    </row>
    <row r="594">
      <c r="A594" t="inlineStr">
        <is>
          <t>S003-애플민트</t>
        </is>
      </c>
      <c r="B594" t="inlineStr">
        <is>
          <t>부산 사하구 농장</t>
        </is>
      </c>
      <c r="C594" t="inlineStr">
        <is>
          <t>애플민트</t>
        </is>
      </c>
      <c r="D594" t="inlineStr">
        <is>
          <t>10. 수익</t>
        </is>
      </c>
      <c r="E594" t="inlineStr">
        <is>
          <t>공실 월세 대비 차이</t>
        </is>
      </c>
      <c r="F594" s="8" t="n">
        <v>28531069.9197912</v>
      </c>
      <c r="G594" t="inlineStr">
        <is>
          <t>원</t>
        </is>
      </c>
    </row>
    <row r="595">
      <c r="A595" t="inlineStr">
        <is>
          <t>S003-애플민트</t>
        </is>
      </c>
      <c r="B595" t="inlineStr">
        <is>
          <t>부산 사하구 농장</t>
        </is>
      </c>
      <c r="C595" t="inlineStr">
        <is>
          <t>애플민트</t>
        </is>
      </c>
      <c r="D595" t="inlineStr">
        <is>
          <t>10. 수익</t>
        </is>
      </c>
      <c r="E595" t="inlineStr">
        <is>
          <t>사업장 영업이익</t>
        </is>
      </c>
      <c r="F595" s="8" t="n">
        <v>8007767.479947798</v>
      </c>
      <c r="G595" t="inlineStr">
        <is>
          <t>원</t>
        </is>
      </c>
    </row>
    <row r="596">
      <c r="A596" t="inlineStr">
        <is>
          <t>S003-쪽파</t>
        </is>
      </c>
      <c r="B596" t="inlineStr">
        <is>
          <t>부산 사하구 농장</t>
        </is>
      </c>
      <c r="C596" t="inlineStr">
        <is>
          <t>쪽파</t>
        </is>
      </c>
      <c r="D596" t="inlineStr">
        <is>
          <t>1. 공간</t>
        </is>
      </c>
      <c r="E596" t="inlineStr">
        <is>
          <t>공실 전체면적</t>
        </is>
      </c>
      <c r="F596" s="10" t="n">
        <v>324</v>
      </c>
      <c r="G596" t="inlineStr">
        <is>
          <t>m²</t>
        </is>
      </c>
    </row>
    <row r="597">
      <c r="A597" t="inlineStr">
        <is>
          <t>S003-쪽파</t>
        </is>
      </c>
      <c r="B597" t="inlineStr">
        <is>
          <t>부산 사하구 농장</t>
        </is>
      </c>
      <c r="C597" t="inlineStr">
        <is>
          <t>쪽파</t>
        </is>
      </c>
      <c r="D597" t="inlineStr">
        <is>
          <t>1. 공간</t>
        </is>
      </c>
      <c r="E597" t="inlineStr">
        <is>
          <t>사용가능 바닥면적</t>
        </is>
      </c>
      <c r="F597" s="10" t="n">
        <v>210.6</v>
      </c>
      <c r="G597" t="inlineStr">
        <is>
          <t>m²</t>
        </is>
      </c>
    </row>
    <row r="598">
      <c r="A598" t="inlineStr">
        <is>
          <t>S003-쪽파</t>
        </is>
      </c>
      <c r="B598" t="inlineStr">
        <is>
          <t>부산 사하구 농장</t>
        </is>
      </c>
      <c r="C598" t="inlineStr">
        <is>
          <t>쪽파</t>
        </is>
      </c>
      <c r="D598" t="inlineStr">
        <is>
          <t>1. 공간</t>
        </is>
      </c>
      <c r="E598" t="inlineStr">
        <is>
          <t>작물별 모듈 층 수</t>
        </is>
      </c>
      <c r="F598" s="8" t="n">
        <v>3</v>
      </c>
      <c r="G598" t="inlineStr">
        <is>
          <t>층</t>
        </is>
      </c>
    </row>
    <row r="599">
      <c r="A599" t="inlineStr">
        <is>
          <t>S003-쪽파</t>
        </is>
      </c>
      <c r="B599" t="inlineStr">
        <is>
          <t>부산 사하구 농장</t>
        </is>
      </c>
      <c r="C599" t="inlineStr">
        <is>
          <t>쪽파</t>
        </is>
      </c>
      <c r="D599" t="inlineStr">
        <is>
          <t>1. 공간</t>
        </is>
      </c>
      <c r="E599" t="inlineStr">
        <is>
          <t>재배면적</t>
        </is>
      </c>
      <c r="F599" s="10" t="n">
        <v>631.8</v>
      </c>
      <c r="G599" t="inlineStr">
        <is>
          <t>m²</t>
        </is>
      </c>
    </row>
    <row r="600">
      <c r="A600" t="inlineStr">
        <is>
          <t>S003-쪽파</t>
        </is>
      </c>
      <c r="B600" t="inlineStr">
        <is>
          <t>부산 사하구 농장</t>
        </is>
      </c>
      <c r="C600" t="inlineStr">
        <is>
          <t>쪽파</t>
        </is>
      </c>
      <c r="D600" t="inlineStr">
        <is>
          <t>1. 공간</t>
        </is>
      </c>
      <c r="E600" t="inlineStr">
        <is>
          <t>공간 체적</t>
        </is>
      </c>
      <c r="F600" s="10" t="n">
        <v>810</v>
      </c>
      <c r="G600" t="inlineStr">
        <is>
          <t>m³</t>
        </is>
      </c>
    </row>
    <row r="601">
      <c r="A601" t="inlineStr">
        <is>
          <t>S003-쪽파</t>
        </is>
      </c>
      <c r="B601" t="inlineStr">
        <is>
          <t>부산 사하구 농장</t>
        </is>
      </c>
      <c r="C601" t="inlineStr">
        <is>
          <t>쪽파</t>
        </is>
      </c>
      <c r="D601" t="inlineStr">
        <is>
          <t>2. 생산</t>
        </is>
      </c>
      <c r="E601" t="inlineStr">
        <is>
          <t>월 총생산량</t>
        </is>
      </c>
      <c r="F601" s="10" t="n">
        <v>1263.6</v>
      </c>
      <c r="G601" t="inlineStr">
        <is>
          <t>kg</t>
        </is>
      </c>
    </row>
    <row r="602">
      <c r="A602" t="inlineStr">
        <is>
          <t>S003-쪽파</t>
        </is>
      </c>
      <c r="B602" t="inlineStr">
        <is>
          <t>부산 사하구 농장</t>
        </is>
      </c>
      <c r="C602" t="inlineStr">
        <is>
          <t>쪽파</t>
        </is>
      </c>
      <c r="D602" t="inlineStr">
        <is>
          <t>2. 생산</t>
        </is>
      </c>
      <c r="E602" t="inlineStr">
        <is>
          <t>월 판매량</t>
        </is>
      </c>
      <c r="F602" s="10" t="n">
        <v>1137.24</v>
      </c>
      <c r="G602" t="inlineStr">
        <is>
          <t>kg</t>
        </is>
      </c>
    </row>
    <row r="603">
      <c r="A603" t="inlineStr">
        <is>
          <t>S003-쪽파</t>
        </is>
      </c>
      <c r="B603" t="inlineStr">
        <is>
          <t>부산 사하구 농장</t>
        </is>
      </c>
      <c r="C603" t="inlineStr">
        <is>
          <t>쪽파</t>
        </is>
      </c>
      <c r="D603" t="inlineStr">
        <is>
          <t>3. 매출</t>
        </is>
      </c>
      <c r="E603" t="inlineStr">
        <is>
          <t>판매가격</t>
        </is>
      </c>
      <c r="F603" s="8" t="n">
        <v>10000</v>
      </c>
      <c r="G603" t="inlineStr">
        <is>
          <t>원/kg</t>
        </is>
      </c>
    </row>
    <row r="604">
      <c r="A604" t="inlineStr">
        <is>
          <t>S003-쪽파</t>
        </is>
      </c>
      <c r="B604" t="inlineStr">
        <is>
          <t>부산 사하구 농장</t>
        </is>
      </c>
      <c r="C604" t="inlineStr">
        <is>
          <t>쪽파</t>
        </is>
      </c>
      <c r="D604" t="inlineStr">
        <is>
          <t>3. 매출</t>
        </is>
      </c>
      <c r="E604" t="inlineStr">
        <is>
          <t>월 매출</t>
        </is>
      </c>
      <c r="F604" s="8" t="n">
        <v>11372400</v>
      </c>
      <c r="G604" t="inlineStr">
        <is>
          <t>원</t>
        </is>
      </c>
    </row>
    <row r="605">
      <c r="A605" t="inlineStr">
        <is>
          <t>S003-쪽파</t>
        </is>
      </c>
      <c r="B605" t="inlineStr">
        <is>
          <t>부산 사하구 농장</t>
        </is>
      </c>
      <c r="C605" t="inlineStr">
        <is>
          <t>쪽파</t>
        </is>
      </c>
      <c r="D605" t="inlineStr">
        <is>
          <t>4. 조명·냉난방</t>
        </is>
      </c>
      <c r="E605" t="inlineStr">
        <is>
          <t>필요 조명전력</t>
        </is>
      </c>
      <c r="F605" s="10" t="n">
        <v>45128.57142857143</v>
      </c>
      <c r="G605" t="inlineStr">
        <is>
          <t>W</t>
        </is>
      </c>
    </row>
    <row r="606">
      <c r="A606" t="inlineStr">
        <is>
          <t>S003-쪽파</t>
        </is>
      </c>
      <c r="B606" t="inlineStr">
        <is>
          <t>부산 사하구 농장</t>
        </is>
      </c>
      <c r="C606" t="inlineStr">
        <is>
          <t>쪽파</t>
        </is>
      </c>
      <c r="D606" t="inlineStr">
        <is>
          <t>4. 조명·냉난방</t>
        </is>
      </c>
      <c r="E606" t="inlineStr">
        <is>
          <t>월 조명전력량</t>
        </is>
      </c>
      <c r="F606" s="10" t="n">
        <v>21962.57142857143</v>
      </c>
      <c r="G606" t="inlineStr">
        <is>
          <t>kWh</t>
        </is>
      </c>
    </row>
    <row r="607">
      <c r="A607" t="inlineStr">
        <is>
          <t>S003-쪽파</t>
        </is>
      </c>
      <c r="B607" t="inlineStr">
        <is>
          <t>부산 사하구 농장</t>
        </is>
      </c>
      <c r="C607" t="inlineStr">
        <is>
          <t>쪽파</t>
        </is>
      </c>
      <c r="D607" t="inlineStr">
        <is>
          <t>5. 습도</t>
        </is>
      </c>
      <c r="E607" t="inlineStr">
        <is>
          <t>월 증발산량</t>
        </is>
      </c>
      <c r="F607" s="10" t="n">
        <v>57651.75</v>
      </c>
      <c r="G607" t="inlineStr">
        <is>
          <t>kg</t>
        </is>
      </c>
    </row>
    <row r="608">
      <c r="A608" t="inlineStr">
        <is>
          <t>S003-쪽파</t>
        </is>
      </c>
      <c r="B608" t="inlineStr">
        <is>
          <t>부산 사하구 농장</t>
        </is>
      </c>
      <c r="C608" t="inlineStr">
        <is>
          <t>쪽파</t>
        </is>
      </c>
      <c r="D608" t="inlineStr">
        <is>
          <t>6. 전기비</t>
        </is>
      </c>
      <c r="E608" t="inlineStr">
        <is>
          <t>월평균 총 전력량</t>
        </is>
      </c>
      <c r="F608" s="10" t="n">
        <v>52584.26461349722</v>
      </c>
      <c r="G608" t="inlineStr">
        <is>
          <t>kWh</t>
        </is>
      </c>
    </row>
    <row r="609">
      <c r="A609" t="inlineStr">
        <is>
          <t>S003-쪽파</t>
        </is>
      </c>
      <c r="B609" t="inlineStr">
        <is>
          <t>부산 사하구 농장</t>
        </is>
      </c>
      <c r="C609" t="inlineStr">
        <is>
          <t>쪽파</t>
        </is>
      </c>
      <c r="D609" t="inlineStr">
        <is>
          <t>6. 전기비</t>
        </is>
      </c>
      <c r="E609" t="inlineStr">
        <is>
          <t>월 전기비</t>
        </is>
      </c>
      <c r="F609" s="8" t="n">
        <v>8150561.015092068</v>
      </c>
      <c r="G609" t="inlineStr">
        <is>
          <t>원</t>
        </is>
      </c>
    </row>
    <row r="610">
      <c r="A610" t="inlineStr">
        <is>
          <t>S003-쪽파</t>
        </is>
      </c>
      <c r="B610" t="inlineStr">
        <is>
          <t>부산 사하구 농장</t>
        </is>
      </c>
      <c r="C610" t="inlineStr">
        <is>
          <t>쪽파</t>
        </is>
      </c>
      <c r="D610" t="inlineStr">
        <is>
          <t>7. 수도비</t>
        </is>
      </c>
      <c r="E610" t="inlineStr">
        <is>
          <t>배액률</t>
        </is>
      </c>
      <c r="F610" s="11" t="n">
        <v>0.3</v>
      </c>
      <c r="G610" t="inlineStr">
        <is>
          <t>%</t>
        </is>
      </c>
    </row>
    <row r="611">
      <c r="A611" t="inlineStr">
        <is>
          <t>S003-쪽파</t>
        </is>
      </c>
      <c r="B611" t="inlineStr">
        <is>
          <t>부산 사하구 농장</t>
        </is>
      </c>
      <c r="C611" t="inlineStr">
        <is>
          <t>쪽파</t>
        </is>
      </c>
      <c r="D611" t="inlineStr">
        <is>
          <t>7. 수도비</t>
        </is>
      </c>
      <c r="E611" t="inlineStr">
        <is>
          <t>월 작물 순소비량</t>
        </is>
      </c>
      <c r="F611" s="10" t="n">
        <v>57.65175</v>
      </c>
      <c r="G611" t="inlineStr">
        <is>
          <t>m³</t>
        </is>
      </c>
    </row>
    <row r="612">
      <c r="A612" t="inlineStr">
        <is>
          <t>S003-쪽파</t>
        </is>
      </c>
      <c r="B612" t="inlineStr">
        <is>
          <t>부산 사하구 농장</t>
        </is>
      </c>
      <c r="C612" t="inlineStr">
        <is>
          <t>쪽파</t>
        </is>
      </c>
      <c r="D612" t="inlineStr">
        <is>
          <t>7. 수도비</t>
        </is>
      </c>
      <c r="E612" t="inlineStr">
        <is>
          <t>월 배액량</t>
        </is>
      </c>
      <c r="F612" s="10" t="n">
        <v>24.70789285714287</v>
      </c>
      <c r="G612" t="inlineStr">
        <is>
          <t>m³</t>
        </is>
      </c>
    </row>
    <row r="613">
      <c r="A613" t="inlineStr">
        <is>
          <t>S003-쪽파</t>
        </is>
      </c>
      <c r="B613" t="inlineStr">
        <is>
          <t>부산 사하구 농장</t>
        </is>
      </c>
      <c r="C613" t="inlineStr">
        <is>
          <t>쪽파</t>
        </is>
      </c>
      <c r="D613" t="inlineStr">
        <is>
          <t>7. 수도비</t>
        </is>
      </c>
      <c r="E613" t="inlineStr">
        <is>
          <t>월 작물 관수량</t>
        </is>
      </c>
      <c r="F613" s="10" t="n">
        <v>82.35964285714287</v>
      </c>
      <c r="G613" t="inlineStr">
        <is>
          <t>m³</t>
        </is>
      </c>
    </row>
    <row r="614">
      <c r="A614" t="inlineStr">
        <is>
          <t>S003-쪽파</t>
        </is>
      </c>
      <c r="B614" t="inlineStr">
        <is>
          <t>부산 사하구 농장</t>
        </is>
      </c>
      <c r="C614" t="inlineStr">
        <is>
          <t>쪽파</t>
        </is>
      </c>
      <c r="D614" t="inlineStr">
        <is>
          <t>7. 수도비</t>
        </is>
      </c>
      <c r="E614" t="inlineStr">
        <is>
          <t>월 기타 용수량</t>
        </is>
      </c>
      <c r="F614" s="10" t="n">
        <v>1.971</v>
      </c>
      <c r="G614" t="inlineStr">
        <is>
          <t>m³</t>
        </is>
      </c>
    </row>
    <row r="615">
      <c r="A615" t="inlineStr">
        <is>
          <t>S003-쪽파</t>
        </is>
      </c>
      <c r="B615" t="inlineStr">
        <is>
          <t>부산 사하구 농장</t>
        </is>
      </c>
      <c r="C615" t="inlineStr">
        <is>
          <t>쪽파</t>
        </is>
      </c>
      <c r="D615" t="inlineStr">
        <is>
          <t>7. 수도비</t>
        </is>
      </c>
      <c r="E615" t="inlineStr">
        <is>
          <t>월 총 용수량</t>
        </is>
      </c>
      <c r="F615" s="10" t="n">
        <v>84.33064285714286</v>
      </c>
      <c r="G615" t="inlineStr">
        <is>
          <t>m³</t>
        </is>
      </c>
    </row>
    <row r="616">
      <c r="A616" t="inlineStr">
        <is>
          <t>S003-쪽파</t>
        </is>
      </c>
      <c r="B616" t="inlineStr">
        <is>
          <t>부산 사하구 농장</t>
        </is>
      </c>
      <c r="C616" t="inlineStr">
        <is>
          <t>쪽파</t>
        </is>
      </c>
      <c r="D616" t="inlineStr">
        <is>
          <t>7. 수도비</t>
        </is>
      </c>
      <c r="E616" t="inlineStr">
        <is>
          <t>월 수도비</t>
        </is>
      </c>
      <c r="F616" s="8" t="n">
        <v>193960.4785714286</v>
      </c>
      <c r="G616" t="inlineStr">
        <is>
          <t>원</t>
        </is>
      </c>
    </row>
    <row r="617">
      <c r="A617" t="inlineStr">
        <is>
          <t>S003-쪽파</t>
        </is>
      </c>
      <c r="B617" t="inlineStr">
        <is>
          <t>부산 사하구 농장</t>
        </is>
      </c>
      <c r="C617" t="inlineStr">
        <is>
          <t>쪽파</t>
        </is>
      </c>
      <c r="D617" t="inlineStr">
        <is>
          <t>8. 재료비</t>
        </is>
      </c>
      <c r="E617" t="inlineStr">
        <is>
          <t>면적당 월 환산 모종비</t>
        </is>
      </c>
      <c r="F617" s="8" t="n">
        <v>700</v>
      </c>
      <c r="G617" t="inlineStr">
        <is>
          <t>원/m²/month</t>
        </is>
      </c>
    </row>
    <row r="618">
      <c r="A618" t="inlineStr">
        <is>
          <t>S003-쪽파</t>
        </is>
      </c>
      <c r="B618" t="inlineStr">
        <is>
          <t>부산 사하구 농장</t>
        </is>
      </c>
      <c r="C618" t="inlineStr">
        <is>
          <t>쪽파</t>
        </is>
      </c>
      <c r="D618" t="inlineStr">
        <is>
          <t>8. 재료비</t>
        </is>
      </c>
      <c r="E618" t="inlineStr">
        <is>
          <t>월 모종비</t>
        </is>
      </c>
      <c r="F618" s="8" t="n">
        <v>442259.9999999999</v>
      </c>
      <c r="G618" t="inlineStr">
        <is>
          <t>원</t>
        </is>
      </c>
    </row>
    <row r="619">
      <c r="A619" t="inlineStr">
        <is>
          <t>S003-쪽파</t>
        </is>
      </c>
      <c r="B619" t="inlineStr">
        <is>
          <t>부산 사하구 농장</t>
        </is>
      </c>
      <c r="C619" t="inlineStr">
        <is>
          <t>쪽파</t>
        </is>
      </c>
      <c r="D619" t="inlineStr">
        <is>
          <t>8. 재료비</t>
        </is>
      </c>
      <c r="E619" t="inlineStr">
        <is>
          <t>월 양액 사용량</t>
        </is>
      </c>
      <c r="F619" s="10" t="n">
        <v>82.35964285714287</v>
      </c>
      <c r="G619" t="inlineStr">
        <is>
          <t>m³</t>
        </is>
      </c>
    </row>
    <row r="620">
      <c r="A620" t="inlineStr">
        <is>
          <t>S003-쪽파</t>
        </is>
      </c>
      <c r="B620" t="inlineStr">
        <is>
          <t>부산 사하구 농장</t>
        </is>
      </c>
      <c r="C620" t="inlineStr">
        <is>
          <t>쪽파</t>
        </is>
      </c>
      <c r="D620" t="inlineStr">
        <is>
          <t>8. 재료비</t>
        </is>
      </c>
      <c r="E620" t="inlineStr">
        <is>
          <t>월 양액비</t>
        </is>
      </c>
      <c r="F620" s="8" t="n">
        <v>1647192.857142857</v>
      </c>
      <c r="G620" t="inlineStr">
        <is>
          <t>원</t>
        </is>
      </c>
    </row>
    <row r="621">
      <c r="A621" t="inlineStr">
        <is>
          <t>S003-쪽파</t>
        </is>
      </c>
      <c r="B621" t="inlineStr">
        <is>
          <t>부산 사하구 농장</t>
        </is>
      </c>
      <c r="C621" t="inlineStr">
        <is>
          <t>쪽파</t>
        </is>
      </c>
      <c r="D621" t="inlineStr">
        <is>
          <t>8. 재료비</t>
        </is>
      </c>
      <c r="E621" t="inlineStr">
        <is>
          <t>월 재료비</t>
        </is>
      </c>
      <c r="F621" s="8" t="n">
        <v>2089452.857142857</v>
      </c>
      <c r="G621" t="inlineStr">
        <is>
          <t>원</t>
        </is>
      </c>
    </row>
    <row r="622">
      <c r="A622" t="inlineStr">
        <is>
          <t>S003-쪽파</t>
        </is>
      </c>
      <c r="B622" t="inlineStr">
        <is>
          <t>부산 사하구 농장</t>
        </is>
      </c>
      <c r="C622" t="inlineStr">
        <is>
          <t>쪽파</t>
        </is>
      </c>
      <c r="D622" t="inlineStr">
        <is>
          <t>9. 인건비</t>
        </is>
      </c>
      <c r="E622" t="inlineStr">
        <is>
          <t>월 노동시간</t>
        </is>
      </c>
      <c r="F622" s="10" t="n">
        <v>631.8</v>
      </c>
      <c r="G622" t="inlineStr">
        <is>
          <t>시간</t>
        </is>
      </c>
    </row>
    <row r="623">
      <c r="A623" t="inlineStr">
        <is>
          <t>S003-쪽파</t>
        </is>
      </c>
      <c r="B623" t="inlineStr">
        <is>
          <t>부산 사하구 농장</t>
        </is>
      </c>
      <c r="C623" t="inlineStr">
        <is>
          <t>쪽파</t>
        </is>
      </c>
      <c r="D623" t="inlineStr">
        <is>
          <t>9. 인건비</t>
        </is>
      </c>
      <c r="E623" t="inlineStr">
        <is>
          <t>월 인건비</t>
        </is>
      </c>
      <c r="F623" s="8" t="n">
        <v>6520175.999999999</v>
      </c>
      <c r="G623" t="inlineStr">
        <is>
          <t>원</t>
        </is>
      </c>
    </row>
    <row r="624">
      <c r="A624" t="inlineStr">
        <is>
          <t>S003-쪽파</t>
        </is>
      </c>
      <c r="B624" t="inlineStr">
        <is>
          <t>부산 사하구 농장</t>
        </is>
      </c>
      <c r="C624" t="inlineStr">
        <is>
          <t>쪽파</t>
        </is>
      </c>
      <c r="D624" t="inlineStr">
        <is>
          <t>10. 수익</t>
        </is>
      </c>
      <c r="E624" t="inlineStr">
        <is>
          <t>기기 대여비 적용면적</t>
        </is>
      </c>
      <c r="F624" s="10" t="n">
        <v>210.6</v>
      </c>
      <c r="G624" t="inlineStr">
        <is>
          <t>m²</t>
        </is>
      </c>
    </row>
    <row r="625">
      <c r="A625" t="inlineStr">
        <is>
          <t>S003-쪽파</t>
        </is>
      </c>
      <c r="B625" t="inlineStr">
        <is>
          <t>부산 사하구 농장</t>
        </is>
      </c>
      <c r="C625" t="inlineStr">
        <is>
          <t>쪽파</t>
        </is>
      </c>
      <c r="D625" t="inlineStr">
        <is>
          <t>10. 수익</t>
        </is>
      </c>
      <c r="E625" t="inlineStr">
        <is>
          <t>면적당 월 기기 대여비</t>
        </is>
      </c>
      <c r="F625" s="8" t="n">
        <v>22000</v>
      </c>
      <c r="G625" t="inlineStr">
        <is>
          <t>원/m²/month</t>
        </is>
      </c>
    </row>
    <row r="626">
      <c r="A626" t="inlineStr">
        <is>
          <t>S003-쪽파</t>
        </is>
      </c>
      <c r="B626" t="inlineStr">
        <is>
          <t>부산 사하구 농장</t>
        </is>
      </c>
      <c r="C626" t="inlineStr">
        <is>
          <t>쪽파</t>
        </is>
      </c>
      <c r="D626" t="inlineStr">
        <is>
          <t>10. 수익</t>
        </is>
      </c>
      <c r="E626" t="inlineStr">
        <is>
          <t>월 기기 대여비</t>
        </is>
      </c>
      <c r="F626" s="8" t="n">
        <v>4633200</v>
      </c>
      <c r="G626" t="inlineStr">
        <is>
          <t>원</t>
        </is>
      </c>
    </row>
    <row r="627">
      <c r="A627" t="inlineStr">
        <is>
          <t>S003-쪽파</t>
        </is>
      </c>
      <c r="B627" t="inlineStr">
        <is>
          <t>부산 사하구 농장</t>
        </is>
      </c>
      <c r="C627" t="inlineStr">
        <is>
          <t>쪽파</t>
        </is>
      </c>
      <c r="D627" t="inlineStr">
        <is>
          <t>10. 수익</t>
        </is>
      </c>
      <c r="E627" t="inlineStr">
        <is>
          <t>월 운영비</t>
        </is>
      </c>
      <c r="F627" s="8" t="n">
        <v>21887350.35080636</v>
      </c>
      <c r="G627" t="inlineStr">
        <is>
          <t>원</t>
        </is>
      </c>
    </row>
    <row r="628">
      <c r="A628" t="inlineStr">
        <is>
          <t>S003-쪽파</t>
        </is>
      </c>
      <c r="B628" t="inlineStr">
        <is>
          <t>부산 사하구 농장</t>
        </is>
      </c>
      <c r="C628" t="inlineStr">
        <is>
          <t>쪽파</t>
        </is>
      </c>
      <c r="D628" t="inlineStr">
        <is>
          <t>10. 수익</t>
        </is>
      </c>
      <c r="E628" t="inlineStr">
        <is>
          <t>월 영업이익</t>
        </is>
      </c>
      <c r="F628" s="8" t="n">
        <v>-10514950.35080636</v>
      </c>
      <c r="G628" t="inlineStr">
        <is>
          <t>원</t>
        </is>
      </c>
    </row>
    <row r="629">
      <c r="A629" t="inlineStr">
        <is>
          <t>S003-쪽파</t>
        </is>
      </c>
      <c r="B629" t="inlineStr">
        <is>
          <t>부산 사하구 농장</t>
        </is>
      </c>
      <c r="C629" t="inlineStr">
        <is>
          <t>쪽파</t>
        </is>
      </c>
      <c r="D629" t="inlineStr">
        <is>
          <t>10. 수익</t>
        </is>
      </c>
      <c r="E629" t="inlineStr">
        <is>
          <t>공간 대여자 예상수익</t>
        </is>
      </c>
      <c r="F629" s="8" t="n">
        <v>-8411960.280645085</v>
      </c>
      <c r="G629" t="inlineStr">
        <is>
          <t>원</t>
        </is>
      </c>
    </row>
    <row r="630">
      <c r="A630" t="inlineStr">
        <is>
          <t>S003-쪽파</t>
        </is>
      </c>
      <c r="B630" t="inlineStr">
        <is>
          <t>부산 사하구 농장</t>
        </is>
      </c>
      <c r="C630" t="inlineStr">
        <is>
          <t>쪽파</t>
        </is>
      </c>
      <c r="D630" t="inlineStr">
        <is>
          <t>10. 수익</t>
        </is>
      </c>
      <c r="E630" t="inlineStr">
        <is>
          <t>원하는 월세</t>
        </is>
      </c>
      <c r="F630" s="8" t="n">
        <v>3500000</v>
      </c>
      <c r="G630" t="inlineStr">
        <is>
          <t>원</t>
        </is>
      </c>
    </row>
    <row r="631">
      <c r="A631" t="inlineStr">
        <is>
          <t>S003-쪽파</t>
        </is>
      </c>
      <c r="B631" t="inlineStr">
        <is>
          <t>부산 사하구 농장</t>
        </is>
      </c>
      <c r="C631" t="inlineStr">
        <is>
          <t>쪽파</t>
        </is>
      </c>
      <c r="D631" t="inlineStr">
        <is>
          <t>10. 수익</t>
        </is>
      </c>
      <c r="E631" t="inlineStr">
        <is>
          <t>공실 월세 대비 차이</t>
        </is>
      </c>
      <c r="F631" s="8" t="n">
        <v>-11911960.28064509</v>
      </c>
      <c r="G631" t="inlineStr">
        <is>
          <t>원</t>
        </is>
      </c>
    </row>
    <row r="632">
      <c r="A632" t="inlineStr">
        <is>
          <t>S003-쪽파</t>
        </is>
      </c>
      <c r="B632" t="inlineStr">
        <is>
          <t>부산 사하구 농장</t>
        </is>
      </c>
      <c r="C632" t="inlineStr">
        <is>
          <t>쪽파</t>
        </is>
      </c>
      <c r="D632" t="inlineStr">
        <is>
          <t>10. 수익</t>
        </is>
      </c>
      <c r="E632" t="inlineStr">
        <is>
          <t>사업장 영업이익</t>
        </is>
      </c>
      <c r="F632" s="8" t="n">
        <v>-2102990.07016127</v>
      </c>
      <c r="G632" t="inlineStr">
        <is>
          <t>원</t>
        </is>
      </c>
    </row>
    <row r="633">
      <c r="A633" t="inlineStr">
        <is>
          <t>S003-병풀</t>
        </is>
      </c>
      <c r="B633" t="inlineStr">
        <is>
          <t>부산 사하구 농장</t>
        </is>
      </c>
      <c r="C633" t="inlineStr">
        <is>
          <t>병풀</t>
        </is>
      </c>
      <c r="D633" t="inlineStr">
        <is>
          <t>1. 공간</t>
        </is>
      </c>
      <c r="E633" t="inlineStr">
        <is>
          <t>공실 전체면적</t>
        </is>
      </c>
      <c r="F633" s="10" t="n">
        <v>324</v>
      </c>
      <c r="G633" t="inlineStr">
        <is>
          <t>m²</t>
        </is>
      </c>
    </row>
    <row r="634">
      <c r="A634" t="inlineStr">
        <is>
          <t>S003-병풀</t>
        </is>
      </c>
      <c r="B634" t="inlineStr">
        <is>
          <t>부산 사하구 농장</t>
        </is>
      </c>
      <c r="C634" t="inlineStr">
        <is>
          <t>병풀</t>
        </is>
      </c>
      <c r="D634" t="inlineStr">
        <is>
          <t>1. 공간</t>
        </is>
      </c>
      <c r="E634" t="inlineStr">
        <is>
          <t>사용가능 바닥면적</t>
        </is>
      </c>
      <c r="F634" s="10" t="n">
        <v>210.6</v>
      </c>
      <c r="G634" t="inlineStr">
        <is>
          <t>m²</t>
        </is>
      </c>
    </row>
    <row r="635">
      <c r="A635" t="inlineStr">
        <is>
          <t>S003-병풀</t>
        </is>
      </c>
      <c r="B635" t="inlineStr">
        <is>
          <t>부산 사하구 농장</t>
        </is>
      </c>
      <c r="C635" t="inlineStr">
        <is>
          <t>병풀</t>
        </is>
      </c>
      <c r="D635" t="inlineStr">
        <is>
          <t>1. 공간</t>
        </is>
      </c>
      <c r="E635" t="inlineStr">
        <is>
          <t>작물별 모듈 층 수</t>
        </is>
      </c>
      <c r="F635" s="8" t="n">
        <v>3</v>
      </c>
      <c r="G635" t="inlineStr">
        <is>
          <t>층</t>
        </is>
      </c>
    </row>
    <row r="636">
      <c r="A636" t="inlineStr">
        <is>
          <t>S003-병풀</t>
        </is>
      </c>
      <c r="B636" t="inlineStr">
        <is>
          <t>부산 사하구 농장</t>
        </is>
      </c>
      <c r="C636" t="inlineStr">
        <is>
          <t>병풀</t>
        </is>
      </c>
      <c r="D636" t="inlineStr">
        <is>
          <t>1. 공간</t>
        </is>
      </c>
      <c r="E636" t="inlineStr">
        <is>
          <t>재배면적</t>
        </is>
      </c>
      <c r="F636" s="10" t="n">
        <v>631.8</v>
      </c>
      <c r="G636" t="inlineStr">
        <is>
          <t>m²</t>
        </is>
      </c>
    </row>
    <row r="637">
      <c r="A637" t="inlineStr">
        <is>
          <t>S003-병풀</t>
        </is>
      </c>
      <c r="B637" t="inlineStr">
        <is>
          <t>부산 사하구 농장</t>
        </is>
      </c>
      <c r="C637" t="inlineStr">
        <is>
          <t>병풀</t>
        </is>
      </c>
      <c r="D637" t="inlineStr">
        <is>
          <t>1. 공간</t>
        </is>
      </c>
      <c r="E637" t="inlineStr">
        <is>
          <t>공간 체적</t>
        </is>
      </c>
      <c r="F637" s="10" t="n">
        <v>810</v>
      </c>
      <c r="G637" t="inlineStr">
        <is>
          <t>m³</t>
        </is>
      </c>
    </row>
    <row r="638">
      <c r="A638" t="inlineStr">
        <is>
          <t>S003-병풀</t>
        </is>
      </c>
      <c r="B638" t="inlineStr">
        <is>
          <t>부산 사하구 농장</t>
        </is>
      </c>
      <c r="C638" t="inlineStr">
        <is>
          <t>병풀</t>
        </is>
      </c>
      <c r="D638" t="inlineStr">
        <is>
          <t>2. 생산</t>
        </is>
      </c>
      <c r="E638" t="inlineStr">
        <is>
          <t>월 총생산량</t>
        </is>
      </c>
      <c r="F638" s="10" t="n">
        <v>1263.6</v>
      </c>
      <c r="G638" t="inlineStr">
        <is>
          <t>kg</t>
        </is>
      </c>
    </row>
    <row r="639">
      <c r="A639" t="inlineStr">
        <is>
          <t>S003-병풀</t>
        </is>
      </c>
      <c r="B639" t="inlineStr">
        <is>
          <t>부산 사하구 농장</t>
        </is>
      </c>
      <c r="C639" t="inlineStr">
        <is>
          <t>병풀</t>
        </is>
      </c>
      <c r="D639" t="inlineStr">
        <is>
          <t>2. 생산</t>
        </is>
      </c>
      <c r="E639" t="inlineStr">
        <is>
          <t>월 판매량</t>
        </is>
      </c>
      <c r="F639" s="10" t="n">
        <v>1137.24</v>
      </c>
      <c r="G639" t="inlineStr">
        <is>
          <t>kg</t>
        </is>
      </c>
    </row>
    <row r="640">
      <c r="A640" t="inlineStr">
        <is>
          <t>S003-병풀</t>
        </is>
      </c>
      <c r="B640" t="inlineStr">
        <is>
          <t>부산 사하구 농장</t>
        </is>
      </c>
      <c r="C640" t="inlineStr">
        <is>
          <t>병풀</t>
        </is>
      </c>
      <c r="D640" t="inlineStr">
        <is>
          <t>3. 매출</t>
        </is>
      </c>
      <c r="E640" t="inlineStr">
        <is>
          <t>판매가격</t>
        </is>
      </c>
      <c r="F640" s="8" t="n">
        <v>20000</v>
      </c>
      <c r="G640" t="inlineStr">
        <is>
          <t>원/kg</t>
        </is>
      </c>
    </row>
    <row r="641">
      <c r="A641" t="inlineStr">
        <is>
          <t>S003-병풀</t>
        </is>
      </c>
      <c r="B641" t="inlineStr">
        <is>
          <t>부산 사하구 농장</t>
        </is>
      </c>
      <c r="C641" t="inlineStr">
        <is>
          <t>병풀</t>
        </is>
      </c>
      <c r="D641" t="inlineStr">
        <is>
          <t>3. 매출</t>
        </is>
      </c>
      <c r="E641" t="inlineStr">
        <is>
          <t>월 매출</t>
        </is>
      </c>
      <c r="F641" s="8" t="n">
        <v>22744800</v>
      </c>
      <c r="G641" t="inlineStr">
        <is>
          <t>원</t>
        </is>
      </c>
    </row>
    <row r="642">
      <c r="A642" t="inlineStr">
        <is>
          <t>S003-병풀</t>
        </is>
      </c>
      <c r="B642" t="inlineStr">
        <is>
          <t>부산 사하구 농장</t>
        </is>
      </c>
      <c r="C642" t="inlineStr">
        <is>
          <t>병풀</t>
        </is>
      </c>
      <c r="D642" t="inlineStr">
        <is>
          <t>4. 조명·냉난방</t>
        </is>
      </c>
      <c r="E642" t="inlineStr">
        <is>
          <t>필요 조명전력</t>
        </is>
      </c>
      <c r="F642" s="10" t="n">
        <v>45128.57142857143</v>
      </c>
      <c r="G642" t="inlineStr">
        <is>
          <t>W</t>
        </is>
      </c>
    </row>
    <row r="643">
      <c r="A643" t="inlineStr">
        <is>
          <t>S003-병풀</t>
        </is>
      </c>
      <c r="B643" t="inlineStr">
        <is>
          <t>부산 사하구 농장</t>
        </is>
      </c>
      <c r="C643" t="inlineStr">
        <is>
          <t>병풀</t>
        </is>
      </c>
      <c r="D643" t="inlineStr">
        <is>
          <t>4. 조명·냉난방</t>
        </is>
      </c>
      <c r="E643" t="inlineStr">
        <is>
          <t>월 조명전력량</t>
        </is>
      </c>
      <c r="F643" s="10" t="n">
        <v>16471.92857142857</v>
      </c>
      <c r="G643" t="inlineStr">
        <is>
          <t>kWh</t>
        </is>
      </c>
    </row>
    <row r="644">
      <c r="A644" t="inlineStr">
        <is>
          <t>S003-병풀</t>
        </is>
      </c>
      <c r="B644" t="inlineStr">
        <is>
          <t>부산 사하구 농장</t>
        </is>
      </c>
      <c r="C644" t="inlineStr">
        <is>
          <t>병풀</t>
        </is>
      </c>
      <c r="D644" t="inlineStr">
        <is>
          <t>5. 습도</t>
        </is>
      </c>
      <c r="E644" t="inlineStr">
        <is>
          <t>월 증발산량</t>
        </is>
      </c>
      <c r="F644" s="10" t="n">
        <v>57651.75</v>
      </c>
      <c r="G644" t="inlineStr">
        <is>
          <t>kg</t>
        </is>
      </c>
    </row>
    <row r="645">
      <c r="A645" t="inlineStr">
        <is>
          <t>S003-병풀</t>
        </is>
      </c>
      <c r="B645" t="inlineStr">
        <is>
          <t>부산 사하구 농장</t>
        </is>
      </c>
      <c r="C645" t="inlineStr">
        <is>
          <t>병풀</t>
        </is>
      </c>
      <c r="D645" t="inlineStr">
        <is>
          <t>6. 전기비</t>
        </is>
      </c>
      <c r="E645" t="inlineStr">
        <is>
          <t>월평균 총 전력량</t>
        </is>
      </c>
      <c r="F645" s="10" t="n">
        <v>46615.98846519479</v>
      </c>
      <c r="G645" t="inlineStr">
        <is>
          <t>kWh</t>
        </is>
      </c>
    </row>
    <row r="646">
      <c r="A646" t="inlineStr">
        <is>
          <t>S003-병풀</t>
        </is>
      </c>
      <c r="B646" t="inlineStr">
        <is>
          <t>부산 사하구 농장</t>
        </is>
      </c>
      <c r="C646" t="inlineStr">
        <is>
          <t>병풀</t>
        </is>
      </c>
      <c r="D646" t="inlineStr">
        <is>
          <t>6. 전기비</t>
        </is>
      </c>
      <c r="E646" t="inlineStr">
        <is>
          <t>월 전기비</t>
        </is>
      </c>
      <c r="F646" s="8" t="n">
        <v>7225478.212105193</v>
      </c>
      <c r="G646" t="inlineStr">
        <is>
          <t>원</t>
        </is>
      </c>
    </row>
    <row r="647">
      <c r="A647" t="inlineStr">
        <is>
          <t>S003-병풀</t>
        </is>
      </c>
      <c r="B647" t="inlineStr">
        <is>
          <t>부산 사하구 농장</t>
        </is>
      </c>
      <c r="C647" t="inlineStr">
        <is>
          <t>병풀</t>
        </is>
      </c>
      <c r="D647" t="inlineStr">
        <is>
          <t>7. 수도비</t>
        </is>
      </c>
      <c r="E647" t="inlineStr">
        <is>
          <t>배액률</t>
        </is>
      </c>
      <c r="F647" s="11" t="n">
        <v>0.3</v>
      </c>
      <c r="G647" t="inlineStr">
        <is>
          <t>%</t>
        </is>
      </c>
    </row>
    <row r="648">
      <c r="A648" t="inlineStr">
        <is>
          <t>S003-병풀</t>
        </is>
      </c>
      <c r="B648" t="inlineStr">
        <is>
          <t>부산 사하구 농장</t>
        </is>
      </c>
      <c r="C648" t="inlineStr">
        <is>
          <t>병풀</t>
        </is>
      </c>
      <c r="D648" t="inlineStr">
        <is>
          <t>7. 수도비</t>
        </is>
      </c>
      <c r="E648" t="inlineStr">
        <is>
          <t>월 작물 순소비량</t>
        </is>
      </c>
      <c r="F648" s="10" t="n">
        <v>57.65175</v>
      </c>
      <c r="G648" t="inlineStr">
        <is>
          <t>m³</t>
        </is>
      </c>
    </row>
    <row r="649">
      <c r="A649" t="inlineStr">
        <is>
          <t>S003-병풀</t>
        </is>
      </c>
      <c r="B649" t="inlineStr">
        <is>
          <t>부산 사하구 농장</t>
        </is>
      </c>
      <c r="C649" t="inlineStr">
        <is>
          <t>병풀</t>
        </is>
      </c>
      <c r="D649" t="inlineStr">
        <is>
          <t>7. 수도비</t>
        </is>
      </c>
      <c r="E649" t="inlineStr">
        <is>
          <t>월 배액량</t>
        </is>
      </c>
      <c r="F649" s="10" t="n">
        <v>24.70789285714287</v>
      </c>
      <c r="G649" t="inlineStr">
        <is>
          <t>m³</t>
        </is>
      </c>
    </row>
    <row r="650">
      <c r="A650" t="inlineStr">
        <is>
          <t>S003-병풀</t>
        </is>
      </c>
      <c r="B650" t="inlineStr">
        <is>
          <t>부산 사하구 농장</t>
        </is>
      </c>
      <c r="C650" t="inlineStr">
        <is>
          <t>병풀</t>
        </is>
      </c>
      <c r="D650" t="inlineStr">
        <is>
          <t>7. 수도비</t>
        </is>
      </c>
      <c r="E650" t="inlineStr">
        <is>
          <t>월 작물 관수량</t>
        </is>
      </c>
      <c r="F650" s="10" t="n">
        <v>82.35964285714287</v>
      </c>
      <c r="G650" t="inlineStr">
        <is>
          <t>m³</t>
        </is>
      </c>
    </row>
    <row r="651">
      <c r="A651" t="inlineStr">
        <is>
          <t>S003-병풀</t>
        </is>
      </c>
      <c r="B651" t="inlineStr">
        <is>
          <t>부산 사하구 농장</t>
        </is>
      </c>
      <c r="C651" t="inlineStr">
        <is>
          <t>병풀</t>
        </is>
      </c>
      <c r="D651" t="inlineStr">
        <is>
          <t>7. 수도비</t>
        </is>
      </c>
      <c r="E651" t="inlineStr">
        <is>
          <t>월 기타 용수량</t>
        </is>
      </c>
      <c r="F651" s="10" t="n">
        <v>1.971</v>
      </c>
      <c r="G651" t="inlineStr">
        <is>
          <t>m³</t>
        </is>
      </c>
    </row>
    <row r="652">
      <c r="A652" t="inlineStr">
        <is>
          <t>S003-병풀</t>
        </is>
      </c>
      <c r="B652" t="inlineStr">
        <is>
          <t>부산 사하구 농장</t>
        </is>
      </c>
      <c r="C652" t="inlineStr">
        <is>
          <t>병풀</t>
        </is>
      </c>
      <c r="D652" t="inlineStr">
        <is>
          <t>7. 수도비</t>
        </is>
      </c>
      <c r="E652" t="inlineStr">
        <is>
          <t>월 총 용수량</t>
        </is>
      </c>
      <c r="F652" s="10" t="n">
        <v>84.33064285714286</v>
      </c>
      <c r="G652" t="inlineStr">
        <is>
          <t>m³</t>
        </is>
      </c>
    </row>
    <row r="653">
      <c r="A653" t="inlineStr">
        <is>
          <t>S003-병풀</t>
        </is>
      </c>
      <c r="B653" t="inlineStr">
        <is>
          <t>부산 사하구 농장</t>
        </is>
      </c>
      <c r="C653" t="inlineStr">
        <is>
          <t>병풀</t>
        </is>
      </c>
      <c r="D653" t="inlineStr">
        <is>
          <t>7. 수도비</t>
        </is>
      </c>
      <c r="E653" t="inlineStr">
        <is>
          <t>월 수도비</t>
        </is>
      </c>
      <c r="F653" s="8" t="n">
        <v>193960.4785714286</v>
      </c>
      <c r="G653" t="inlineStr">
        <is>
          <t>원</t>
        </is>
      </c>
    </row>
    <row r="654">
      <c r="A654" t="inlineStr">
        <is>
          <t>S003-병풀</t>
        </is>
      </c>
      <c r="B654" t="inlineStr">
        <is>
          <t>부산 사하구 농장</t>
        </is>
      </c>
      <c r="C654" t="inlineStr">
        <is>
          <t>병풀</t>
        </is>
      </c>
      <c r="D654" t="inlineStr">
        <is>
          <t>8. 재료비</t>
        </is>
      </c>
      <c r="E654" t="inlineStr">
        <is>
          <t>면적당 월 환산 모종비</t>
        </is>
      </c>
      <c r="F654" s="8" t="n">
        <v>1666.67</v>
      </c>
      <c r="G654" t="inlineStr">
        <is>
          <t>원/m²/month</t>
        </is>
      </c>
    </row>
    <row r="655">
      <c r="A655" t="inlineStr">
        <is>
          <t>S003-병풀</t>
        </is>
      </c>
      <c r="B655" t="inlineStr">
        <is>
          <t>부산 사하구 농장</t>
        </is>
      </c>
      <c r="C655" t="inlineStr">
        <is>
          <t>병풀</t>
        </is>
      </c>
      <c r="D655" t="inlineStr">
        <is>
          <t>8. 재료비</t>
        </is>
      </c>
      <c r="E655" t="inlineStr">
        <is>
          <t>월 모종비</t>
        </is>
      </c>
      <c r="F655" s="8" t="n">
        <v>1053002.106</v>
      </c>
      <c r="G655" t="inlineStr">
        <is>
          <t>원</t>
        </is>
      </c>
    </row>
    <row r="656">
      <c r="A656" t="inlineStr">
        <is>
          <t>S003-병풀</t>
        </is>
      </c>
      <c r="B656" t="inlineStr">
        <is>
          <t>부산 사하구 농장</t>
        </is>
      </c>
      <c r="C656" t="inlineStr">
        <is>
          <t>병풀</t>
        </is>
      </c>
      <c r="D656" t="inlineStr">
        <is>
          <t>8. 재료비</t>
        </is>
      </c>
      <c r="E656" t="inlineStr">
        <is>
          <t>월 양액 사용량</t>
        </is>
      </c>
      <c r="F656" s="10" t="n">
        <v>82.35964285714287</v>
      </c>
      <c r="G656" t="inlineStr">
        <is>
          <t>m³</t>
        </is>
      </c>
    </row>
    <row r="657">
      <c r="A657" t="inlineStr">
        <is>
          <t>S003-병풀</t>
        </is>
      </c>
      <c r="B657" t="inlineStr">
        <is>
          <t>부산 사하구 농장</t>
        </is>
      </c>
      <c r="C657" t="inlineStr">
        <is>
          <t>병풀</t>
        </is>
      </c>
      <c r="D657" t="inlineStr">
        <is>
          <t>8. 재료비</t>
        </is>
      </c>
      <c r="E657" t="inlineStr">
        <is>
          <t>월 양액비</t>
        </is>
      </c>
      <c r="F657" s="8" t="n">
        <v>1647192.857142857</v>
      </c>
      <c r="G657" t="inlineStr">
        <is>
          <t>원</t>
        </is>
      </c>
    </row>
    <row r="658">
      <c r="A658" t="inlineStr">
        <is>
          <t>S003-병풀</t>
        </is>
      </c>
      <c r="B658" t="inlineStr">
        <is>
          <t>부산 사하구 농장</t>
        </is>
      </c>
      <c r="C658" t="inlineStr">
        <is>
          <t>병풀</t>
        </is>
      </c>
      <c r="D658" t="inlineStr">
        <is>
          <t>8. 재료비</t>
        </is>
      </c>
      <c r="E658" t="inlineStr">
        <is>
          <t>월 재료비</t>
        </is>
      </c>
      <c r="F658" s="8" t="n">
        <v>2700194.963142857</v>
      </c>
      <c r="G658" t="inlineStr">
        <is>
          <t>원</t>
        </is>
      </c>
    </row>
    <row r="659">
      <c r="A659" t="inlineStr">
        <is>
          <t>S003-병풀</t>
        </is>
      </c>
      <c r="B659" t="inlineStr">
        <is>
          <t>부산 사하구 농장</t>
        </is>
      </c>
      <c r="C659" t="inlineStr">
        <is>
          <t>병풀</t>
        </is>
      </c>
      <c r="D659" t="inlineStr">
        <is>
          <t>9. 인건비</t>
        </is>
      </c>
      <c r="E659" t="inlineStr">
        <is>
          <t>월 노동시간</t>
        </is>
      </c>
      <c r="F659" s="10" t="n">
        <v>631.8</v>
      </c>
      <c r="G659" t="inlineStr">
        <is>
          <t>시간</t>
        </is>
      </c>
    </row>
    <row r="660">
      <c r="A660" t="inlineStr">
        <is>
          <t>S003-병풀</t>
        </is>
      </c>
      <c r="B660" t="inlineStr">
        <is>
          <t>부산 사하구 농장</t>
        </is>
      </c>
      <c r="C660" t="inlineStr">
        <is>
          <t>병풀</t>
        </is>
      </c>
      <c r="D660" t="inlineStr">
        <is>
          <t>9. 인건비</t>
        </is>
      </c>
      <c r="E660" t="inlineStr">
        <is>
          <t>월 인건비</t>
        </is>
      </c>
      <c r="F660" s="8" t="n">
        <v>6520175.999999999</v>
      </c>
      <c r="G660" t="inlineStr">
        <is>
          <t>원</t>
        </is>
      </c>
    </row>
    <row r="661">
      <c r="A661" t="inlineStr">
        <is>
          <t>S003-병풀</t>
        </is>
      </c>
      <c r="B661" t="inlineStr">
        <is>
          <t>부산 사하구 농장</t>
        </is>
      </c>
      <c r="C661" t="inlineStr">
        <is>
          <t>병풀</t>
        </is>
      </c>
      <c r="D661" t="inlineStr">
        <is>
          <t>10. 수익</t>
        </is>
      </c>
      <c r="E661" t="inlineStr">
        <is>
          <t>기기 대여비 적용면적</t>
        </is>
      </c>
      <c r="F661" s="10" t="n">
        <v>210.6</v>
      </c>
      <c r="G661" t="inlineStr">
        <is>
          <t>m²</t>
        </is>
      </c>
    </row>
    <row r="662">
      <c r="A662" t="inlineStr">
        <is>
          <t>S003-병풀</t>
        </is>
      </c>
      <c r="B662" t="inlineStr">
        <is>
          <t>부산 사하구 농장</t>
        </is>
      </c>
      <c r="C662" t="inlineStr">
        <is>
          <t>병풀</t>
        </is>
      </c>
      <c r="D662" t="inlineStr">
        <is>
          <t>10. 수익</t>
        </is>
      </c>
      <c r="E662" t="inlineStr">
        <is>
          <t>면적당 월 기기 대여비</t>
        </is>
      </c>
      <c r="F662" s="8" t="n">
        <v>22000</v>
      </c>
      <c r="G662" t="inlineStr">
        <is>
          <t>원/m²/month</t>
        </is>
      </c>
    </row>
    <row r="663">
      <c r="A663" t="inlineStr">
        <is>
          <t>S003-병풀</t>
        </is>
      </c>
      <c r="B663" t="inlineStr">
        <is>
          <t>부산 사하구 농장</t>
        </is>
      </c>
      <c r="C663" t="inlineStr">
        <is>
          <t>병풀</t>
        </is>
      </c>
      <c r="D663" t="inlineStr">
        <is>
          <t>10. 수익</t>
        </is>
      </c>
      <c r="E663" t="inlineStr">
        <is>
          <t>월 기기 대여비</t>
        </is>
      </c>
      <c r="F663" s="8" t="n">
        <v>4633200</v>
      </c>
      <c r="G663" t="inlineStr">
        <is>
          <t>원</t>
        </is>
      </c>
    </row>
    <row r="664">
      <c r="A664" t="inlineStr">
        <is>
          <t>S003-병풀</t>
        </is>
      </c>
      <c r="B664" t="inlineStr">
        <is>
          <t>부산 사하구 농장</t>
        </is>
      </c>
      <c r="C664" t="inlineStr">
        <is>
          <t>병풀</t>
        </is>
      </c>
      <c r="D664" t="inlineStr">
        <is>
          <t>10. 수익</t>
        </is>
      </c>
      <c r="E664" t="inlineStr">
        <is>
          <t>월 운영비</t>
        </is>
      </c>
      <c r="F664" s="8" t="n">
        <v>21573009.65381948</v>
      </c>
      <c r="G664" t="inlineStr">
        <is>
          <t>원</t>
        </is>
      </c>
    </row>
    <row r="665">
      <c r="A665" t="inlineStr">
        <is>
          <t>S003-병풀</t>
        </is>
      </c>
      <c r="B665" t="inlineStr">
        <is>
          <t>부산 사하구 농장</t>
        </is>
      </c>
      <c r="C665" t="inlineStr">
        <is>
          <t>병풀</t>
        </is>
      </c>
      <c r="D665" t="inlineStr">
        <is>
          <t>10. 수익</t>
        </is>
      </c>
      <c r="E665" t="inlineStr">
        <is>
          <t>월 영업이익</t>
        </is>
      </c>
      <c r="F665" s="8" t="n">
        <v>1171790.346180521</v>
      </c>
      <c r="G665" t="inlineStr">
        <is>
          <t>원</t>
        </is>
      </c>
    </row>
    <row r="666">
      <c r="A666" t="inlineStr">
        <is>
          <t>S003-병풀</t>
        </is>
      </c>
      <c r="B666" t="inlineStr">
        <is>
          <t>부산 사하구 농장</t>
        </is>
      </c>
      <c r="C666" t="inlineStr">
        <is>
          <t>병풀</t>
        </is>
      </c>
      <c r="D666" t="inlineStr">
        <is>
          <t>10. 수익</t>
        </is>
      </c>
      <c r="E666" t="inlineStr">
        <is>
          <t>공간 대여자 예상수익</t>
        </is>
      </c>
      <c r="F666" s="8" t="n">
        <v>937432.2769444168</v>
      </c>
      <c r="G666" t="inlineStr">
        <is>
          <t>원</t>
        </is>
      </c>
    </row>
    <row r="667">
      <c r="A667" t="inlineStr">
        <is>
          <t>S003-병풀</t>
        </is>
      </c>
      <c r="B667" t="inlineStr">
        <is>
          <t>부산 사하구 농장</t>
        </is>
      </c>
      <c r="C667" t="inlineStr">
        <is>
          <t>병풀</t>
        </is>
      </c>
      <c r="D667" t="inlineStr">
        <is>
          <t>10. 수익</t>
        </is>
      </c>
      <c r="E667" t="inlineStr">
        <is>
          <t>원하는 월세</t>
        </is>
      </c>
      <c r="F667" s="8" t="n">
        <v>3500000</v>
      </c>
      <c r="G667" t="inlineStr">
        <is>
          <t>원</t>
        </is>
      </c>
    </row>
    <row r="668">
      <c r="A668" t="inlineStr">
        <is>
          <t>S003-병풀</t>
        </is>
      </c>
      <c r="B668" t="inlineStr">
        <is>
          <t>부산 사하구 농장</t>
        </is>
      </c>
      <c r="C668" t="inlineStr">
        <is>
          <t>병풀</t>
        </is>
      </c>
      <c r="D668" t="inlineStr">
        <is>
          <t>10. 수익</t>
        </is>
      </c>
      <c r="E668" t="inlineStr">
        <is>
          <t>공실 월세 대비 차이</t>
        </is>
      </c>
      <c r="F668" s="8" t="n">
        <v>-2562567.723055583</v>
      </c>
      <c r="G668" t="inlineStr">
        <is>
          <t>원</t>
        </is>
      </c>
    </row>
    <row r="669">
      <c r="A669" t="inlineStr">
        <is>
          <t>S003-병풀</t>
        </is>
      </c>
      <c r="B669" t="inlineStr">
        <is>
          <t>부산 사하구 농장</t>
        </is>
      </c>
      <c r="C669" t="inlineStr">
        <is>
          <t>병풀</t>
        </is>
      </c>
      <c r="D669" t="inlineStr">
        <is>
          <t>10. 수익</t>
        </is>
      </c>
      <c r="E669" t="inlineStr">
        <is>
          <t>사업장 영업이익</t>
        </is>
      </c>
      <c r="F669" s="8" t="n">
        <v>234358.0692361041</v>
      </c>
      <c r="G669" t="inlineStr">
        <is>
          <t>원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20" customWidth="1" min="12" max="12"/>
  </cols>
  <sheetData>
    <row r="1" ht="34" customHeight="1">
      <c r="A1" s="1" t="inlineStr">
        <is>
          <t>12개월 환경제어 전력량</t>
        </is>
      </c>
    </row>
    <row r="2"/>
    <row r="3" ht="34" customHeight="1">
      <c r="A3" s="3" t="inlineStr">
        <is>
          <t>시나리오ID</t>
        </is>
      </c>
      <c r="B3" s="3" t="inlineStr">
        <is>
          <t>사업장</t>
        </is>
      </c>
      <c r="C3" s="3" t="inlineStr">
        <is>
          <t>작물</t>
        </is>
      </c>
      <c r="D3" s="3" t="inlineStr">
        <is>
          <t>월</t>
        </is>
      </c>
      <c r="E3" s="3" t="inlineStr">
        <is>
          <t>외기온도(°C)</t>
        </is>
      </c>
      <c r="F3" s="3" t="inlineStr">
        <is>
          <t>외기상대습도</t>
        </is>
      </c>
      <c r="G3" s="3" t="inlineStr">
        <is>
          <t>조명(kWh)</t>
        </is>
      </c>
      <c r="H3" s="3" t="inlineStr">
        <is>
          <t>난방(kWh)</t>
        </is>
      </c>
      <c r="I3" s="3" t="inlineStr">
        <is>
          <t>냉방(kWh)</t>
        </is>
      </c>
      <c r="J3" s="3" t="inlineStr">
        <is>
          <t>제습(kWh)</t>
        </is>
      </c>
      <c r="K3" s="3" t="inlineStr">
        <is>
          <t>가습(kWh)</t>
        </is>
      </c>
      <c r="L3" s="3" t="inlineStr">
        <is>
          <t>총합(kWh)</t>
        </is>
      </c>
    </row>
    <row r="4">
      <c r="A4" t="inlineStr">
        <is>
          <t>S001-상추</t>
        </is>
      </c>
      <c r="B4" t="inlineStr">
        <is>
          <t>부산 금정구 농장</t>
        </is>
      </c>
      <c r="C4" t="inlineStr">
        <is>
          <t>상추</t>
        </is>
      </c>
      <c r="D4" t="inlineStr">
        <is>
          <t>1월</t>
        </is>
      </c>
      <c r="E4" s="12" t="n">
        <v>-2</v>
      </c>
      <c r="F4" s="13" t="n">
        <v>0.55</v>
      </c>
      <c r="G4" s="8" t="n">
        <v>13896.07142857143</v>
      </c>
      <c r="H4" s="8" t="n">
        <v>141.6243120426305</v>
      </c>
      <c r="I4" s="8" t="n">
        <v>4085.701925619551</v>
      </c>
      <c r="J4" s="8" t="n">
        <v>17549.94860132693</v>
      </c>
      <c r="K4" s="8" t="n">
        <v>0</v>
      </c>
      <c r="L4" s="8" t="n">
        <v>35673.34626756054</v>
      </c>
    </row>
    <row r="5">
      <c r="A5" t="inlineStr">
        <is>
          <t>S001-상추</t>
        </is>
      </c>
      <c r="B5" t="inlineStr">
        <is>
          <t>부산 금정구 농장</t>
        </is>
      </c>
      <c r="C5" t="inlineStr">
        <is>
          <t>상추</t>
        </is>
      </c>
      <c r="D5" t="inlineStr">
        <is>
          <t>2월</t>
        </is>
      </c>
      <c r="E5" s="12" t="n">
        <v>1</v>
      </c>
      <c r="F5" s="13" t="n">
        <v>0.52</v>
      </c>
      <c r="G5" s="8" t="n">
        <v>13896.07142857143</v>
      </c>
      <c r="H5" s="8" t="n">
        <v>122.3119058549991</v>
      </c>
      <c r="I5" s="8" t="n">
        <v>4128.618383814288</v>
      </c>
      <c r="J5" s="8" t="n">
        <v>17528.38747297515</v>
      </c>
      <c r="K5" s="8" t="n">
        <v>0</v>
      </c>
      <c r="L5" s="8" t="n">
        <v>35675.38919121587</v>
      </c>
    </row>
    <row r="6">
      <c r="A6" t="inlineStr">
        <is>
          <t>S001-상추</t>
        </is>
      </c>
      <c r="B6" t="inlineStr">
        <is>
          <t>부산 금정구 농장</t>
        </is>
      </c>
      <c r="C6" t="inlineStr">
        <is>
          <t>상추</t>
        </is>
      </c>
      <c r="D6" t="inlineStr">
        <is>
          <t>3월</t>
        </is>
      </c>
      <c r="E6" s="12" t="n">
        <v>7</v>
      </c>
      <c r="F6" s="13" t="n">
        <v>0.55</v>
      </c>
      <c r="G6" s="8" t="n">
        <v>13896.07142857143</v>
      </c>
      <c r="H6" s="8" t="n">
        <v>83.68709347973621</v>
      </c>
      <c r="I6" s="8" t="n">
        <v>4214.45130020376</v>
      </c>
      <c r="J6" s="8" t="n">
        <v>17500.29268824508</v>
      </c>
      <c r="K6" s="8" t="n">
        <v>0</v>
      </c>
      <c r="L6" s="8" t="n">
        <v>35694.50251050001</v>
      </c>
    </row>
    <row r="7">
      <c r="A7" t="inlineStr">
        <is>
          <t>S001-상추</t>
        </is>
      </c>
      <c r="B7" t="inlineStr">
        <is>
          <t>부산 금정구 농장</t>
        </is>
      </c>
      <c r="C7" t="inlineStr">
        <is>
          <t>상추</t>
        </is>
      </c>
      <c r="D7" t="inlineStr">
        <is>
          <t>4월</t>
        </is>
      </c>
      <c r="E7" s="12" t="n">
        <v>14</v>
      </c>
      <c r="F7" s="13" t="n">
        <v>0.58</v>
      </c>
      <c r="G7" s="8" t="n">
        <v>13896.07142857143</v>
      </c>
      <c r="H7" s="8" t="n">
        <v>38.62481237526286</v>
      </c>
      <c r="I7" s="8" t="n">
        <v>4314.589702658146</v>
      </c>
      <c r="J7" s="8" t="n">
        <v>17484.51824531165</v>
      </c>
      <c r="K7" s="8" t="n">
        <v>0</v>
      </c>
      <c r="L7" s="8" t="n">
        <v>35733.80418891649</v>
      </c>
    </row>
    <row r="8">
      <c r="A8" t="inlineStr">
        <is>
          <t>S001-상추</t>
        </is>
      </c>
      <c r="B8" t="inlineStr">
        <is>
          <t>부산 금정구 농장</t>
        </is>
      </c>
      <c r="C8" t="inlineStr">
        <is>
          <t>상추</t>
        </is>
      </c>
      <c r="D8" t="inlineStr">
        <is>
          <t>5월</t>
        </is>
      </c>
      <c r="E8" s="12" t="n">
        <v>19</v>
      </c>
      <c r="F8" s="13" t="n">
        <v>0.65</v>
      </c>
      <c r="G8" s="8" t="n">
        <v>13896.07142857143</v>
      </c>
      <c r="H8" s="8" t="n">
        <v>6.437468729210476</v>
      </c>
      <c r="I8" s="8" t="n">
        <v>4386.117132982707</v>
      </c>
      <c r="J8" s="8" t="n">
        <v>17504.28027573781</v>
      </c>
      <c r="K8" s="8" t="n">
        <v>0</v>
      </c>
      <c r="L8" s="8" t="n">
        <v>35792.90630602116</v>
      </c>
    </row>
    <row r="9">
      <c r="A9" t="inlineStr">
        <is>
          <t>S001-상추</t>
        </is>
      </c>
      <c r="B9" t="inlineStr">
        <is>
          <t>부산 금정구 농장</t>
        </is>
      </c>
      <c r="C9" t="inlineStr">
        <is>
          <t>상추</t>
        </is>
      </c>
      <c r="D9" t="inlineStr">
        <is>
          <t>6월</t>
        </is>
      </c>
      <c r="E9" s="12" t="n">
        <v>23</v>
      </c>
      <c r="F9" s="13" t="n">
        <v>0.72</v>
      </c>
      <c r="G9" s="8" t="n">
        <v>13896.07142857143</v>
      </c>
      <c r="H9" s="8" t="n">
        <v>0</v>
      </c>
      <c r="I9" s="8" t="n">
        <v>4469.088952159198</v>
      </c>
      <c r="J9" s="8" t="n">
        <v>17526.35418163455</v>
      </c>
      <c r="K9" s="8" t="n">
        <v>0</v>
      </c>
      <c r="L9" s="8" t="n">
        <v>35891.51456236518</v>
      </c>
    </row>
    <row r="10">
      <c r="A10" t="inlineStr">
        <is>
          <t>S001-상추</t>
        </is>
      </c>
      <c r="B10" t="inlineStr">
        <is>
          <t>부산 금정구 농장</t>
        </is>
      </c>
      <c r="C10" t="inlineStr">
        <is>
          <t>상추</t>
        </is>
      </c>
      <c r="D10" t="inlineStr">
        <is>
          <t>7월</t>
        </is>
      </c>
      <c r="E10" s="12" t="n">
        <v>26</v>
      </c>
      <c r="F10" s="13" t="n">
        <v>0.78</v>
      </c>
      <c r="G10" s="8" t="n">
        <v>13896.07142857143</v>
      </c>
      <c r="H10" s="8" t="n">
        <v>0</v>
      </c>
      <c r="I10" s="8" t="n">
        <v>4537.755285270776</v>
      </c>
      <c r="J10" s="8" t="n">
        <v>17557.8414463838</v>
      </c>
      <c r="K10" s="8" t="n">
        <v>0</v>
      </c>
      <c r="L10" s="8" t="n">
        <v>35991.66816022601</v>
      </c>
    </row>
    <row r="11">
      <c r="A11" t="inlineStr">
        <is>
          <t>S001-상추</t>
        </is>
      </c>
      <c r="B11" t="inlineStr">
        <is>
          <t>부산 금정구 농장</t>
        </is>
      </c>
      <c r="C11" t="inlineStr">
        <is>
          <t>상추</t>
        </is>
      </c>
      <c r="D11" t="inlineStr">
        <is>
          <t>8월</t>
        </is>
      </c>
      <c r="E11" s="12" t="n">
        <v>27</v>
      </c>
      <c r="F11" s="13" t="n">
        <v>0.76</v>
      </c>
      <c r="G11" s="8" t="n">
        <v>13896.07142857143</v>
      </c>
      <c r="H11" s="8" t="n">
        <v>0</v>
      </c>
      <c r="I11" s="8" t="n">
        <v>4560.644062974636</v>
      </c>
      <c r="J11" s="8" t="n">
        <v>17552.64430516825</v>
      </c>
      <c r="K11" s="8" t="n">
        <v>0</v>
      </c>
      <c r="L11" s="8" t="n">
        <v>36009.35979671431</v>
      </c>
    </row>
    <row r="12">
      <c r="A12" t="inlineStr">
        <is>
          <t>S001-상추</t>
        </is>
      </c>
      <c r="B12" t="inlineStr">
        <is>
          <t>부산 금정구 농장</t>
        </is>
      </c>
      <c r="C12" t="inlineStr">
        <is>
          <t>상추</t>
        </is>
      </c>
      <c r="D12" t="inlineStr">
        <is>
          <t>9월</t>
        </is>
      </c>
      <c r="E12" s="12" t="n">
        <v>22</v>
      </c>
      <c r="F12" s="13" t="n">
        <v>0.7</v>
      </c>
      <c r="G12" s="8" t="n">
        <v>13896.07142857143</v>
      </c>
      <c r="H12" s="8" t="n">
        <v>0</v>
      </c>
      <c r="I12" s="8" t="n">
        <v>4446.200174455338</v>
      </c>
      <c r="J12" s="8" t="n">
        <v>17519.35315561519</v>
      </c>
      <c r="K12" s="8" t="n">
        <v>0</v>
      </c>
      <c r="L12" s="8" t="n">
        <v>35861.62475864196</v>
      </c>
    </row>
    <row r="13">
      <c r="A13" t="inlineStr">
        <is>
          <t>S001-상추</t>
        </is>
      </c>
      <c r="B13" t="inlineStr">
        <is>
          <t>부산 금정구 농장</t>
        </is>
      </c>
      <c r="C13" t="inlineStr">
        <is>
          <t>상추</t>
        </is>
      </c>
      <c r="D13" t="inlineStr">
        <is>
          <t>10월</t>
        </is>
      </c>
      <c r="E13" s="12" t="n">
        <v>15</v>
      </c>
      <c r="F13" s="13" t="n">
        <v>0.62</v>
      </c>
      <c r="G13" s="8" t="n">
        <v>13896.07142857143</v>
      </c>
      <c r="H13" s="8" t="n">
        <v>32.18734364605238</v>
      </c>
      <c r="I13" s="8" t="n">
        <v>4328.895188723058</v>
      </c>
      <c r="J13" s="8" t="n">
        <v>17492.93624555217</v>
      </c>
      <c r="K13" s="8" t="n">
        <v>0</v>
      </c>
      <c r="L13" s="8" t="n">
        <v>35750.09020649271</v>
      </c>
    </row>
    <row r="14">
      <c r="A14" t="inlineStr">
        <is>
          <t>S001-상추</t>
        </is>
      </c>
      <c r="B14" t="inlineStr">
        <is>
          <t>부산 금정구 농장</t>
        </is>
      </c>
      <c r="C14" t="inlineStr">
        <is>
          <t>상추</t>
        </is>
      </c>
      <c r="D14" t="inlineStr">
        <is>
          <t>11월</t>
        </is>
      </c>
      <c r="E14" s="12" t="n">
        <v>7</v>
      </c>
      <c r="F14" s="13" t="n">
        <v>0.58</v>
      </c>
      <c r="G14" s="8" t="n">
        <v>13896.07142857143</v>
      </c>
      <c r="H14" s="8" t="n">
        <v>83.68709347973621</v>
      </c>
      <c r="I14" s="8" t="n">
        <v>4214.45130020376</v>
      </c>
      <c r="J14" s="8" t="n">
        <v>17504.70734436151</v>
      </c>
      <c r="K14" s="8" t="n">
        <v>0</v>
      </c>
      <c r="L14" s="8" t="n">
        <v>35698.91716661643</v>
      </c>
    </row>
    <row r="15">
      <c r="A15" t="inlineStr">
        <is>
          <t>S001-상추</t>
        </is>
      </c>
      <c r="B15" t="inlineStr">
        <is>
          <t>부산 금정구 농장</t>
        </is>
      </c>
      <c r="C15" t="inlineStr">
        <is>
          <t>상추</t>
        </is>
      </c>
      <c r="D15" t="inlineStr">
        <is>
          <t>12월</t>
        </is>
      </c>
      <c r="E15" s="12" t="n">
        <v>0</v>
      </c>
      <c r="F15" s="13" t="n">
        <v>0.55</v>
      </c>
      <c r="G15" s="8" t="n">
        <v>13896.07142857143</v>
      </c>
      <c r="H15" s="8" t="n">
        <v>128.7493745842095</v>
      </c>
      <c r="I15" s="8" t="n">
        <v>4114.312897749375</v>
      </c>
      <c r="J15" s="8" t="n">
        <v>17537.34761619588</v>
      </c>
      <c r="K15" s="8" t="n">
        <v>0</v>
      </c>
      <c r="L15" s="8" t="n">
        <v>35676.4813171009</v>
      </c>
    </row>
    <row r="16">
      <c r="A16" t="inlineStr">
        <is>
          <t>S001-딸기</t>
        </is>
      </c>
      <c r="B16" t="inlineStr">
        <is>
          <t>부산 금정구 농장</t>
        </is>
      </c>
      <c r="C16" t="inlineStr">
        <is>
          <t>딸기</t>
        </is>
      </c>
      <c r="D16" t="inlineStr">
        <is>
          <t>1월</t>
        </is>
      </c>
      <c r="E16" s="12" t="n">
        <v>-2</v>
      </c>
      <c r="F16" s="13" t="n">
        <v>0.55</v>
      </c>
      <c r="G16" s="8" t="n">
        <v>9264.047619047622</v>
      </c>
      <c r="H16" s="8" t="n">
        <v>125.8882773712271</v>
      </c>
      <c r="I16" s="8" t="n">
        <v>2597.913006375141</v>
      </c>
      <c r="J16" s="8" t="n">
        <v>808.1634855416742</v>
      </c>
      <c r="K16" s="8" t="n">
        <v>0</v>
      </c>
      <c r="L16" s="8" t="n">
        <v>12796.01238833566</v>
      </c>
    </row>
    <row r="17">
      <c r="A17" t="inlineStr">
        <is>
          <t>S001-딸기</t>
        </is>
      </c>
      <c r="B17" t="inlineStr">
        <is>
          <t>부산 금정구 농장</t>
        </is>
      </c>
      <c r="C17" t="inlineStr">
        <is>
          <t>딸기</t>
        </is>
      </c>
      <c r="D17" t="inlineStr">
        <is>
          <t>2월</t>
        </is>
      </c>
      <c r="E17" s="12" t="n">
        <v>1</v>
      </c>
      <c r="F17" s="13" t="n">
        <v>0.52</v>
      </c>
      <c r="G17" s="8" t="n">
        <v>9264.047619047622</v>
      </c>
      <c r="H17" s="8" t="n">
        <v>108.7216940933325</v>
      </c>
      <c r="I17" s="8" t="n">
        <v>2643.69056178286</v>
      </c>
      <c r="J17" s="8" t="n">
        <v>784.5033320457342</v>
      </c>
      <c r="K17" s="8" t="n">
        <v>0</v>
      </c>
      <c r="L17" s="8" t="n">
        <v>12800.96320696955</v>
      </c>
    </row>
    <row r="18">
      <c r="A18" t="inlineStr">
        <is>
          <t>S001-딸기</t>
        </is>
      </c>
      <c r="B18" t="inlineStr">
        <is>
          <t>부산 금정구 농장</t>
        </is>
      </c>
      <c r="C18" t="inlineStr">
        <is>
          <t>딸기</t>
        </is>
      </c>
      <c r="D18" t="inlineStr">
        <is>
          <t>3월</t>
        </is>
      </c>
      <c r="E18" s="12" t="n">
        <v>7</v>
      </c>
      <c r="F18" s="13" t="n">
        <v>0.55</v>
      </c>
      <c r="G18" s="8" t="n">
        <v>9264.047619047622</v>
      </c>
      <c r="H18" s="8" t="n">
        <v>74.3885275375433</v>
      </c>
      <c r="I18" s="8" t="n">
        <v>2735.245672598298</v>
      </c>
      <c r="J18" s="8" t="n">
        <v>752.2104970273708</v>
      </c>
      <c r="K18" s="8" t="n">
        <v>0</v>
      </c>
      <c r="L18" s="8" t="n">
        <v>12825.89231621083</v>
      </c>
    </row>
    <row r="19">
      <c r="A19" t="inlineStr">
        <is>
          <t>S001-딸기</t>
        </is>
      </c>
      <c r="B19" t="inlineStr">
        <is>
          <t>부산 금정구 농장</t>
        </is>
      </c>
      <c r="C19" t="inlineStr">
        <is>
          <t>딸기</t>
        </is>
      </c>
      <c r="D19" t="inlineStr">
        <is>
          <t>4월</t>
        </is>
      </c>
      <c r="E19" s="12" t="n">
        <v>14</v>
      </c>
      <c r="F19" s="13" t="n">
        <v>0.58</v>
      </c>
      <c r="G19" s="8" t="n">
        <v>9264.047619047622</v>
      </c>
      <c r="H19" s="8" t="n">
        <v>34.33316655578921</v>
      </c>
      <c r="I19" s="8" t="n">
        <v>2842.059968549643</v>
      </c>
      <c r="J19" s="8" t="n">
        <v>731.5383287576019</v>
      </c>
      <c r="K19" s="8" t="n">
        <v>0</v>
      </c>
      <c r="L19" s="8" t="n">
        <v>12871.97908291066</v>
      </c>
    </row>
    <row r="20">
      <c r="A20" t="inlineStr">
        <is>
          <t>S001-딸기</t>
        </is>
      </c>
      <c r="B20" t="inlineStr">
        <is>
          <t>부산 금정구 농장</t>
        </is>
      </c>
      <c r="C20" t="inlineStr">
        <is>
          <t>딸기</t>
        </is>
      </c>
      <c r="D20" t="inlineStr">
        <is>
          <t>5월</t>
        </is>
      </c>
      <c r="E20" s="12" t="n">
        <v>19</v>
      </c>
      <c r="F20" s="13" t="n">
        <v>0.65</v>
      </c>
      <c r="G20" s="8" t="n">
        <v>9264.047619047622</v>
      </c>
      <c r="H20" s="8" t="n">
        <v>5.722194425964868</v>
      </c>
      <c r="I20" s="8" t="n">
        <v>2918.355894229174</v>
      </c>
      <c r="J20" s="8" t="n">
        <v>747.8019839435133</v>
      </c>
      <c r="K20" s="8" t="n">
        <v>0</v>
      </c>
      <c r="L20" s="8" t="n">
        <v>12935.92769164627</v>
      </c>
    </row>
    <row r="21">
      <c r="A21" t="inlineStr">
        <is>
          <t>S001-딸기</t>
        </is>
      </c>
      <c r="B21" t="inlineStr">
        <is>
          <t>부산 금정구 농장</t>
        </is>
      </c>
      <c r="C21" t="inlineStr">
        <is>
          <t>딸기</t>
        </is>
      </c>
      <c r="D21" t="inlineStr">
        <is>
          <t>6월</t>
        </is>
      </c>
      <c r="E21" s="12" t="n">
        <v>23</v>
      </c>
      <c r="F21" s="13" t="n">
        <v>0.72</v>
      </c>
      <c r="G21" s="8" t="n">
        <v>9264.047619047622</v>
      </c>
      <c r="H21" s="8" t="n">
        <v>0</v>
      </c>
      <c r="I21" s="8" t="n">
        <v>3002.281412476659</v>
      </c>
      <c r="J21" s="8" t="n">
        <v>769.1762147922</v>
      </c>
      <c r="K21" s="8" t="n">
        <v>0</v>
      </c>
      <c r="L21" s="8" t="n">
        <v>13035.50524631648</v>
      </c>
    </row>
    <row r="22">
      <c r="A22" t="inlineStr">
        <is>
          <t>S001-딸기</t>
        </is>
      </c>
      <c r="B22" t="inlineStr">
        <is>
          <t>부산 금정구 농장</t>
        </is>
      </c>
      <c r="C22" t="inlineStr">
        <is>
          <t>딸기</t>
        </is>
      </c>
      <c r="D22" t="inlineStr">
        <is>
          <t>7월</t>
        </is>
      </c>
      <c r="E22" s="12" t="n">
        <v>26</v>
      </c>
      <c r="F22" s="13" t="n">
        <v>0.78</v>
      </c>
      <c r="G22" s="8" t="n">
        <v>9264.047619047622</v>
      </c>
      <c r="H22" s="8" t="n">
        <v>0</v>
      </c>
      <c r="I22" s="8" t="n">
        <v>3070.947745588237</v>
      </c>
      <c r="J22" s="8" t="n">
        <v>800.6634795414489</v>
      </c>
      <c r="K22" s="8" t="n">
        <v>0</v>
      </c>
      <c r="L22" s="8" t="n">
        <v>13135.65884417731</v>
      </c>
    </row>
    <row r="23">
      <c r="A23" t="inlineStr">
        <is>
          <t>S001-딸기</t>
        </is>
      </c>
      <c r="B23" t="inlineStr">
        <is>
          <t>부산 금정구 농장</t>
        </is>
      </c>
      <c r="C23" t="inlineStr">
        <is>
          <t>딸기</t>
        </is>
      </c>
      <c r="D23" t="inlineStr">
        <is>
          <t>8월</t>
        </is>
      </c>
      <c r="E23" s="12" t="n">
        <v>27</v>
      </c>
      <c r="F23" s="13" t="n">
        <v>0.76</v>
      </c>
      <c r="G23" s="8" t="n">
        <v>9264.047619047622</v>
      </c>
      <c r="H23" s="8" t="n">
        <v>0</v>
      </c>
      <c r="I23" s="8" t="n">
        <v>3093.836523292097</v>
      </c>
      <c r="J23" s="8" t="n">
        <v>795.466338325904</v>
      </c>
      <c r="K23" s="8" t="n">
        <v>0</v>
      </c>
      <c r="L23" s="8" t="n">
        <v>13153.35048066562</v>
      </c>
    </row>
    <row r="24">
      <c r="A24" t="inlineStr">
        <is>
          <t>S001-딸기</t>
        </is>
      </c>
      <c r="B24" t="inlineStr">
        <is>
          <t>부산 금정구 농장</t>
        </is>
      </c>
      <c r="C24" t="inlineStr">
        <is>
          <t>딸기</t>
        </is>
      </c>
      <c r="D24" t="inlineStr">
        <is>
          <t>9월</t>
        </is>
      </c>
      <c r="E24" s="12" t="n">
        <v>22</v>
      </c>
      <c r="F24" s="13" t="n">
        <v>0.7</v>
      </c>
      <c r="G24" s="8" t="n">
        <v>9264.047619047622</v>
      </c>
      <c r="H24" s="8" t="n">
        <v>0</v>
      </c>
      <c r="I24" s="8" t="n">
        <v>2979.392634772799</v>
      </c>
      <c r="J24" s="8" t="n">
        <v>762.1751887728351</v>
      </c>
      <c r="K24" s="8" t="n">
        <v>0</v>
      </c>
      <c r="L24" s="8" t="n">
        <v>13005.61544259326</v>
      </c>
    </row>
    <row r="25">
      <c r="A25" t="inlineStr">
        <is>
          <t>S001-딸기</t>
        </is>
      </c>
      <c r="B25" t="inlineStr">
        <is>
          <t>부산 금정구 농장</t>
        </is>
      </c>
      <c r="C25" t="inlineStr">
        <is>
          <t>딸기</t>
        </is>
      </c>
      <c r="D25" t="inlineStr">
        <is>
          <t>10월</t>
        </is>
      </c>
      <c r="E25" s="12" t="n">
        <v>15</v>
      </c>
      <c r="F25" s="13" t="n">
        <v>0.62</v>
      </c>
      <c r="G25" s="8" t="n">
        <v>9264.047619047622</v>
      </c>
      <c r="H25" s="8" t="n">
        <v>28.61097212982434</v>
      </c>
      <c r="I25" s="8" t="n">
        <v>2857.319153685549</v>
      </c>
      <c r="J25" s="8" t="n">
        <v>739.2566539500676</v>
      </c>
      <c r="K25" s="8" t="n">
        <v>0</v>
      </c>
      <c r="L25" s="8" t="n">
        <v>12889.23439881306</v>
      </c>
    </row>
    <row r="26">
      <c r="A26" t="inlineStr">
        <is>
          <t>S001-딸기</t>
        </is>
      </c>
      <c r="B26" t="inlineStr">
        <is>
          <t>부산 금정구 농장</t>
        </is>
      </c>
      <c r="C26" t="inlineStr">
        <is>
          <t>딸기</t>
        </is>
      </c>
      <c r="D26" t="inlineStr">
        <is>
          <t>11월</t>
        </is>
      </c>
      <c r="E26" s="12" t="n">
        <v>7</v>
      </c>
      <c r="F26" s="13" t="n">
        <v>0.58</v>
      </c>
      <c r="G26" s="8" t="n">
        <v>9264.047619047622</v>
      </c>
      <c r="H26" s="8" t="n">
        <v>74.3885275375433</v>
      </c>
      <c r="I26" s="8" t="n">
        <v>2735.245672598298</v>
      </c>
      <c r="J26" s="8" t="n">
        <v>756.6251531437997</v>
      </c>
      <c r="K26" s="8" t="n">
        <v>0</v>
      </c>
      <c r="L26" s="8" t="n">
        <v>12830.30697232726</v>
      </c>
    </row>
    <row r="27">
      <c r="A27" t="inlineStr">
        <is>
          <t>S001-딸기</t>
        </is>
      </c>
      <c r="B27" t="inlineStr">
        <is>
          <t>부산 금정구 농장</t>
        </is>
      </c>
      <c r="C27" t="inlineStr">
        <is>
          <t>딸기</t>
        </is>
      </c>
      <c r="D27" t="inlineStr">
        <is>
          <t>12월</t>
        </is>
      </c>
      <c r="E27" s="12" t="n">
        <v>0</v>
      </c>
      <c r="F27" s="13" t="n">
        <v>0.55</v>
      </c>
      <c r="G27" s="8" t="n">
        <v>9264.047619047622</v>
      </c>
      <c r="H27" s="8" t="n">
        <v>114.4438885192974</v>
      </c>
      <c r="I27" s="8" t="n">
        <v>2628.431376646954</v>
      </c>
      <c r="J27" s="8" t="n">
        <v>794.1631503145184</v>
      </c>
      <c r="K27" s="8" t="n">
        <v>0</v>
      </c>
      <c r="L27" s="8" t="n">
        <v>12801.08603452839</v>
      </c>
    </row>
    <row r="28">
      <c r="A28" t="inlineStr">
        <is>
          <t>S001-바질</t>
        </is>
      </c>
      <c r="B28" t="inlineStr">
        <is>
          <t>부산 금정구 농장</t>
        </is>
      </c>
      <c r="C28" t="inlineStr">
        <is>
          <t>바질</t>
        </is>
      </c>
      <c r="D28" t="inlineStr">
        <is>
          <t>1월</t>
        </is>
      </c>
      <c r="E28" s="12" t="n">
        <v>-2</v>
      </c>
      <c r="F28" s="13" t="n">
        <v>0.55</v>
      </c>
      <c r="G28" s="8" t="n">
        <v>13896.07142857143</v>
      </c>
      <c r="H28" s="8" t="n">
        <v>148.7770550750866</v>
      </c>
      <c r="I28" s="8" t="n">
        <v>4003.683805514055</v>
      </c>
      <c r="J28" s="8" t="n">
        <v>2161.944202978226</v>
      </c>
      <c r="K28" s="8" t="n">
        <v>0</v>
      </c>
      <c r="L28" s="8" t="n">
        <v>20210.4764921388</v>
      </c>
    </row>
    <row r="29">
      <c r="A29" t="inlineStr">
        <is>
          <t>S001-바질</t>
        </is>
      </c>
      <c r="B29" t="inlineStr">
        <is>
          <t>부산 금정구 농장</t>
        </is>
      </c>
      <c r="C29" t="inlineStr">
        <is>
          <t>바질</t>
        </is>
      </c>
      <c r="D29" t="inlineStr">
        <is>
          <t>2월</t>
        </is>
      </c>
      <c r="E29" s="12" t="n">
        <v>1</v>
      </c>
      <c r="F29" s="13" t="n">
        <v>0.52</v>
      </c>
      <c r="G29" s="8" t="n">
        <v>13896.07142857143</v>
      </c>
      <c r="H29" s="8" t="n">
        <v>131.610471797192</v>
      </c>
      <c r="I29" s="8" t="n">
        <v>4049.461360921774</v>
      </c>
      <c r="J29" s="8" t="n">
        <v>2138.818449975728</v>
      </c>
      <c r="K29" s="8" t="n">
        <v>0</v>
      </c>
      <c r="L29" s="8" t="n">
        <v>20215.96171126612</v>
      </c>
    </row>
    <row r="30">
      <c r="A30" t="inlineStr">
        <is>
          <t>S001-바질</t>
        </is>
      </c>
      <c r="B30" t="inlineStr">
        <is>
          <t>부산 금정구 농장</t>
        </is>
      </c>
      <c r="C30" t="inlineStr">
        <is>
          <t>바질</t>
        </is>
      </c>
      <c r="D30" t="inlineStr">
        <is>
          <t>3월</t>
        </is>
      </c>
      <c r="E30" s="12" t="n">
        <v>7</v>
      </c>
      <c r="F30" s="13" t="n">
        <v>0.55</v>
      </c>
      <c r="G30" s="8" t="n">
        <v>13896.07142857143</v>
      </c>
      <c r="H30" s="8" t="n">
        <v>97.27730524140276</v>
      </c>
      <c r="I30" s="8" t="n">
        <v>4141.016471737212</v>
      </c>
      <c r="J30" s="8" t="n">
        <v>2107.607732633285</v>
      </c>
      <c r="K30" s="8" t="n">
        <v>0</v>
      </c>
      <c r="L30" s="8" t="n">
        <v>20241.97293818333</v>
      </c>
    </row>
    <row r="31">
      <c r="A31" t="inlineStr">
        <is>
          <t>S001-바질</t>
        </is>
      </c>
      <c r="B31" t="inlineStr">
        <is>
          <t>부산 금정구 농장</t>
        </is>
      </c>
      <c r="C31" t="inlineStr">
        <is>
          <t>바질</t>
        </is>
      </c>
      <c r="D31" t="inlineStr">
        <is>
          <t>4월</t>
        </is>
      </c>
      <c r="E31" s="12" t="n">
        <v>14</v>
      </c>
      <c r="F31" s="13" t="n">
        <v>0.58</v>
      </c>
      <c r="G31" s="8" t="n">
        <v>13896.07142857143</v>
      </c>
      <c r="H31" s="8" t="n">
        <v>57.22194425964869</v>
      </c>
      <c r="I31" s="8" t="n">
        <v>4247.830767688556</v>
      </c>
      <c r="J31" s="8" t="n">
        <v>2088.198205095346</v>
      </c>
      <c r="K31" s="8" t="n">
        <v>0</v>
      </c>
      <c r="L31" s="8" t="n">
        <v>20289.32234561498</v>
      </c>
    </row>
    <row r="32">
      <c r="A32" t="inlineStr">
        <is>
          <t>S001-바질</t>
        </is>
      </c>
      <c r="B32" t="inlineStr">
        <is>
          <t>부산 금정구 농장</t>
        </is>
      </c>
      <c r="C32" t="inlineStr">
        <is>
          <t>바질</t>
        </is>
      </c>
      <c r="D32" t="inlineStr">
        <is>
          <t>5월</t>
        </is>
      </c>
      <c r="E32" s="12" t="n">
        <v>19</v>
      </c>
      <c r="F32" s="13" t="n">
        <v>0.65</v>
      </c>
      <c r="G32" s="8" t="n">
        <v>13896.07142857143</v>
      </c>
      <c r="H32" s="8" t="n">
        <v>28.61097212982434</v>
      </c>
      <c r="I32" s="8" t="n">
        <v>4324.126693368088</v>
      </c>
      <c r="J32" s="8" t="n">
        <v>2105.426240966072</v>
      </c>
      <c r="K32" s="8" t="n">
        <v>0</v>
      </c>
      <c r="L32" s="8" t="n">
        <v>20354.23533503542</v>
      </c>
    </row>
    <row r="33">
      <c r="A33" t="inlineStr">
        <is>
          <t>S001-바질</t>
        </is>
      </c>
      <c r="B33" t="inlineStr">
        <is>
          <t>부산 금정구 농장</t>
        </is>
      </c>
      <c r="C33" t="inlineStr">
        <is>
          <t>바질</t>
        </is>
      </c>
      <c r="D33" t="inlineStr">
        <is>
          <t>6월</t>
        </is>
      </c>
      <c r="E33" s="12" t="n">
        <v>23</v>
      </c>
      <c r="F33" s="13" t="n">
        <v>0.72</v>
      </c>
      <c r="G33" s="8" t="n">
        <v>13896.07142857143</v>
      </c>
      <c r="H33" s="8" t="n">
        <v>5.722194425964868</v>
      </c>
      <c r="I33" s="8" t="n">
        <v>4385.163433911713</v>
      </c>
      <c r="J33" s="8" t="n">
        <v>2144.422595870979</v>
      </c>
      <c r="K33" s="8" t="n">
        <v>0</v>
      </c>
      <c r="L33" s="8" t="n">
        <v>20431.37965278009</v>
      </c>
    </row>
    <row r="34">
      <c r="A34" t="inlineStr">
        <is>
          <t>S001-바질</t>
        </is>
      </c>
      <c r="B34" t="inlineStr">
        <is>
          <t>부산 금정구 농장</t>
        </is>
      </c>
      <c r="C34" t="inlineStr">
        <is>
          <t>바질</t>
        </is>
      </c>
      <c r="D34" t="inlineStr">
        <is>
          <t>7월</t>
        </is>
      </c>
      <c r="E34" s="12" t="n">
        <v>26</v>
      </c>
      <c r="F34" s="13" t="n">
        <v>0.78</v>
      </c>
      <c r="G34" s="8" t="n">
        <v>13896.07142857143</v>
      </c>
      <c r="H34" s="8" t="n">
        <v>0</v>
      </c>
      <c r="I34" s="8" t="n">
        <v>4446.200174455338</v>
      </c>
      <c r="J34" s="8" t="n">
        <v>2182.179354930675</v>
      </c>
      <c r="K34" s="8" t="n">
        <v>0</v>
      </c>
      <c r="L34" s="8" t="n">
        <v>20524.45095795744</v>
      </c>
    </row>
    <row r="35">
      <c r="A35" t="inlineStr">
        <is>
          <t>S001-바질</t>
        </is>
      </c>
      <c r="B35" t="inlineStr">
        <is>
          <t>부산 금정구 농장</t>
        </is>
      </c>
      <c r="C35" t="inlineStr">
        <is>
          <t>바질</t>
        </is>
      </c>
      <c r="D35" t="inlineStr">
        <is>
          <t>8월</t>
        </is>
      </c>
      <c r="E35" s="12" t="n">
        <v>27</v>
      </c>
      <c r="F35" s="13" t="n">
        <v>0.76</v>
      </c>
      <c r="G35" s="8" t="n">
        <v>13896.07142857143</v>
      </c>
      <c r="H35" s="8" t="n">
        <v>0</v>
      </c>
      <c r="I35" s="8" t="n">
        <v>4469.088952159198</v>
      </c>
      <c r="J35" s="8" t="n">
        <v>2177.156628550463</v>
      </c>
      <c r="K35" s="8" t="n">
        <v>0</v>
      </c>
      <c r="L35" s="8" t="n">
        <v>20542.31700928109</v>
      </c>
    </row>
    <row r="36">
      <c r="A36" t="inlineStr">
        <is>
          <t>S001-바질</t>
        </is>
      </c>
      <c r="B36" t="inlineStr">
        <is>
          <t>부산 금정구 농장</t>
        </is>
      </c>
      <c r="C36" t="inlineStr">
        <is>
          <t>바질</t>
        </is>
      </c>
      <c r="D36" t="inlineStr">
        <is>
          <t>9월</t>
        </is>
      </c>
      <c r="E36" s="12" t="n">
        <v>22</v>
      </c>
      <c r="F36" s="13" t="n">
        <v>0.7</v>
      </c>
      <c r="G36" s="8" t="n">
        <v>13896.07142857143</v>
      </c>
      <c r="H36" s="8" t="n">
        <v>11.44438885192974</v>
      </c>
      <c r="I36" s="8" t="n">
        <v>4369.904248775807</v>
      </c>
      <c r="J36" s="8" t="n">
        <v>2131.608857774981</v>
      </c>
      <c r="K36" s="8" t="n">
        <v>0</v>
      </c>
      <c r="L36" s="8" t="n">
        <v>20409.02892397415</v>
      </c>
    </row>
    <row r="37">
      <c r="A37" t="inlineStr">
        <is>
          <t>S001-바질</t>
        </is>
      </c>
      <c r="B37" t="inlineStr">
        <is>
          <t>부산 금정구 농장</t>
        </is>
      </c>
      <c r="C37" t="inlineStr">
        <is>
          <t>바질</t>
        </is>
      </c>
      <c r="D37" t="inlineStr">
        <is>
          <t>10월</t>
        </is>
      </c>
      <c r="E37" s="12" t="n">
        <v>15</v>
      </c>
      <c r="F37" s="13" t="n">
        <v>0.62</v>
      </c>
      <c r="G37" s="8" t="n">
        <v>13896.07142857143</v>
      </c>
      <c r="H37" s="8" t="n">
        <v>51.49974983368381</v>
      </c>
      <c r="I37" s="8" t="n">
        <v>4263.089952824462</v>
      </c>
      <c r="J37" s="8" t="n">
        <v>2096.125057928383</v>
      </c>
      <c r="K37" s="8" t="n">
        <v>0</v>
      </c>
      <c r="L37" s="8" t="n">
        <v>20306.78618915796</v>
      </c>
    </row>
    <row r="38">
      <c r="A38" t="inlineStr">
        <is>
          <t>S001-바질</t>
        </is>
      </c>
      <c r="B38" t="inlineStr">
        <is>
          <t>부산 금정구 농장</t>
        </is>
      </c>
      <c r="C38" t="inlineStr">
        <is>
          <t>바질</t>
        </is>
      </c>
      <c r="D38" t="inlineStr">
        <is>
          <t>11월</t>
        </is>
      </c>
      <c r="E38" s="12" t="n">
        <v>7</v>
      </c>
      <c r="F38" s="13" t="n">
        <v>0.58</v>
      </c>
      <c r="G38" s="8" t="n">
        <v>13896.07142857143</v>
      </c>
      <c r="H38" s="8" t="n">
        <v>97.27730524140276</v>
      </c>
      <c r="I38" s="8" t="n">
        <v>4141.016471737212</v>
      </c>
      <c r="J38" s="8" t="n">
        <v>2112.035817943078</v>
      </c>
      <c r="K38" s="8" t="n">
        <v>0</v>
      </c>
      <c r="L38" s="8" t="n">
        <v>20246.40102349312</v>
      </c>
    </row>
    <row r="39">
      <c r="A39" t="inlineStr">
        <is>
          <t>S001-바질</t>
        </is>
      </c>
      <c r="B39" t="inlineStr">
        <is>
          <t>부산 금정구 농장</t>
        </is>
      </c>
      <c r="C39" t="inlineStr">
        <is>
          <t>바질</t>
        </is>
      </c>
      <c r="D39" t="inlineStr">
        <is>
          <t>12월</t>
        </is>
      </c>
      <c r="E39" s="12" t="n">
        <v>0</v>
      </c>
      <c r="F39" s="13" t="n">
        <v>0.55</v>
      </c>
      <c r="G39" s="8" t="n">
        <v>13896.07142857143</v>
      </c>
      <c r="H39" s="8" t="n">
        <v>137.3326662231568</v>
      </c>
      <c r="I39" s="8" t="n">
        <v>4034.202175785867</v>
      </c>
      <c r="J39" s="8" t="n">
        <v>2148.306759050905</v>
      </c>
      <c r="K39" s="8" t="n">
        <v>0</v>
      </c>
      <c r="L39" s="8" t="n">
        <v>20215.91302963136</v>
      </c>
    </row>
    <row r="40">
      <c r="A40" t="inlineStr">
        <is>
          <t>S001-애플민트</t>
        </is>
      </c>
      <c r="B40" t="inlineStr">
        <is>
          <t>부산 금정구 농장</t>
        </is>
      </c>
      <c r="C40" t="inlineStr">
        <is>
          <t>애플민트</t>
        </is>
      </c>
      <c r="D40" t="inlineStr">
        <is>
          <t>1월</t>
        </is>
      </c>
      <c r="E40" s="12" t="n">
        <v>-2</v>
      </c>
      <c r="F40" s="13" t="n">
        <v>0.55</v>
      </c>
      <c r="G40" s="8" t="n">
        <v>9449.328571428572</v>
      </c>
      <c r="H40" s="8" t="n">
        <v>205.9989993347352</v>
      </c>
      <c r="I40" s="8" t="n">
        <v>2717.622048506068</v>
      </c>
      <c r="J40" s="8" t="n">
        <v>12056.21480590463</v>
      </c>
      <c r="K40" s="8" t="n">
        <v>0</v>
      </c>
      <c r="L40" s="8" t="n">
        <v>24429.16442517401</v>
      </c>
    </row>
    <row r="41">
      <c r="A41" t="inlineStr">
        <is>
          <t>S001-애플민트</t>
        </is>
      </c>
      <c r="B41" t="inlineStr">
        <is>
          <t>부산 금정구 농장</t>
        </is>
      </c>
      <c r="C41" t="inlineStr">
        <is>
          <t>애플민트</t>
        </is>
      </c>
      <c r="D41" t="inlineStr">
        <is>
          <t>2월</t>
        </is>
      </c>
      <c r="E41" s="12" t="n">
        <v>1</v>
      </c>
      <c r="F41" s="13" t="n">
        <v>0.52</v>
      </c>
      <c r="G41" s="8" t="n">
        <v>9449.328571428572</v>
      </c>
      <c r="H41" s="8" t="n">
        <v>180.2491244178934</v>
      </c>
      <c r="I41" s="8" t="n">
        <v>2751.955215061857</v>
      </c>
      <c r="J41" s="8" t="n">
        <v>12041.09475495997</v>
      </c>
      <c r="K41" s="8" t="n">
        <v>0</v>
      </c>
      <c r="L41" s="8" t="n">
        <v>24422.62766586829</v>
      </c>
    </row>
    <row r="42">
      <c r="A42" t="inlineStr">
        <is>
          <t>S001-애플민트</t>
        </is>
      </c>
      <c r="B42" t="inlineStr">
        <is>
          <t>부산 금정구 농장</t>
        </is>
      </c>
      <c r="C42" t="inlineStr">
        <is>
          <t>애플민트</t>
        </is>
      </c>
      <c r="D42" t="inlineStr">
        <is>
          <t>3월</t>
        </is>
      </c>
      <c r="E42" s="12" t="n">
        <v>7</v>
      </c>
      <c r="F42" s="13" t="n">
        <v>0.55</v>
      </c>
      <c r="G42" s="8" t="n">
        <v>9449.328571428572</v>
      </c>
      <c r="H42" s="8" t="n">
        <v>128.7493745842095</v>
      </c>
      <c r="I42" s="8" t="n">
        <v>2820.621548173435</v>
      </c>
      <c r="J42" s="8" t="n">
        <v>12025.88571341943</v>
      </c>
      <c r="K42" s="8" t="n">
        <v>0</v>
      </c>
      <c r="L42" s="8" t="n">
        <v>24424.58520760565</v>
      </c>
    </row>
    <row r="43">
      <c r="A43" t="inlineStr">
        <is>
          <t>S001-애플민트</t>
        </is>
      </c>
      <c r="B43" t="inlineStr">
        <is>
          <t>부산 금정구 농장</t>
        </is>
      </c>
      <c r="C43" t="inlineStr">
        <is>
          <t>애플민트</t>
        </is>
      </c>
      <c r="D43" t="inlineStr">
        <is>
          <t>4월</t>
        </is>
      </c>
      <c r="E43" s="12" t="n">
        <v>14</v>
      </c>
      <c r="F43" s="13" t="n">
        <v>0.58</v>
      </c>
      <c r="G43" s="8" t="n">
        <v>9449.328571428572</v>
      </c>
      <c r="H43" s="8" t="n">
        <v>68.66633311157841</v>
      </c>
      <c r="I43" s="8" t="n">
        <v>2900.732270136943</v>
      </c>
      <c r="J43" s="8" t="n">
        <v>12025.14468337906</v>
      </c>
      <c r="K43" s="8" t="n">
        <v>0</v>
      </c>
      <c r="L43" s="8" t="n">
        <v>24443.87185805615</v>
      </c>
    </row>
    <row r="44">
      <c r="A44" t="inlineStr">
        <is>
          <t>S001-애플민트</t>
        </is>
      </c>
      <c r="B44" t="inlineStr">
        <is>
          <t>부산 금정구 농장</t>
        </is>
      </c>
      <c r="C44" t="inlineStr">
        <is>
          <t>애플민트</t>
        </is>
      </c>
      <c r="D44" t="inlineStr">
        <is>
          <t>5월</t>
        </is>
      </c>
      <c r="E44" s="12" t="n">
        <v>19</v>
      </c>
      <c r="F44" s="13" t="n">
        <v>0.65</v>
      </c>
      <c r="G44" s="8" t="n">
        <v>9449.328571428572</v>
      </c>
      <c r="H44" s="8" t="n">
        <v>25.7498749168419</v>
      </c>
      <c r="I44" s="8" t="n">
        <v>2957.954214396591</v>
      </c>
      <c r="J44" s="8" t="n">
        <v>12055.66170590831</v>
      </c>
      <c r="K44" s="8" t="n">
        <v>0</v>
      </c>
      <c r="L44" s="8" t="n">
        <v>24488.69436665032</v>
      </c>
    </row>
    <row r="45">
      <c r="A45" t="inlineStr">
        <is>
          <t>S001-애플민트</t>
        </is>
      </c>
      <c r="B45" t="inlineStr">
        <is>
          <t>부산 금정구 농장</t>
        </is>
      </c>
      <c r="C45" t="inlineStr">
        <is>
          <t>애플민트</t>
        </is>
      </c>
      <c r="D45" t="inlineStr">
        <is>
          <t>6월</t>
        </is>
      </c>
      <c r="E45" s="12" t="n">
        <v>23</v>
      </c>
      <c r="F45" s="13" t="n">
        <v>0.72</v>
      </c>
      <c r="G45" s="8" t="n">
        <v>9449.328571428572</v>
      </c>
      <c r="H45" s="8" t="n">
        <v>0</v>
      </c>
      <c r="I45" s="8" t="n">
        <v>3015.176158656241</v>
      </c>
      <c r="J45" s="8" t="n">
        <v>12096.85047288255</v>
      </c>
      <c r="K45" s="8" t="n">
        <v>0</v>
      </c>
      <c r="L45" s="8" t="n">
        <v>24561.35520296736</v>
      </c>
    </row>
    <row r="46">
      <c r="A46" t="inlineStr">
        <is>
          <t>S001-애플민트</t>
        </is>
      </c>
      <c r="B46" t="inlineStr">
        <is>
          <t>부산 금정구 농장</t>
        </is>
      </c>
      <c r="C46" t="inlineStr">
        <is>
          <t>애플민트</t>
        </is>
      </c>
      <c r="D46" t="inlineStr">
        <is>
          <t>7월</t>
        </is>
      </c>
      <c r="E46" s="12" t="n">
        <v>26</v>
      </c>
      <c r="F46" s="13" t="n">
        <v>0.78</v>
      </c>
      <c r="G46" s="8" t="n">
        <v>9449.328571428572</v>
      </c>
      <c r="H46" s="8" t="n">
        <v>0</v>
      </c>
      <c r="I46" s="8" t="n">
        <v>3083.842491767819</v>
      </c>
      <c r="J46" s="8" t="n">
        <v>12128.51884310178</v>
      </c>
      <c r="K46" s="8" t="n">
        <v>0</v>
      </c>
      <c r="L46" s="8" t="n">
        <v>24661.68990629818</v>
      </c>
    </row>
    <row r="47">
      <c r="A47" t="inlineStr">
        <is>
          <t>S001-애플민트</t>
        </is>
      </c>
      <c r="B47" t="inlineStr">
        <is>
          <t>부산 금정구 농장</t>
        </is>
      </c>
      <c r="C47" t="inlineStr">
        <is>
          <t>애플민트</t>
        </is>
      </c>
      <c r="D47" t="inlineStr">
        <is>
          <t>8월</t>
        </is>
      </c>
      <c r="E47" s="12" t="n">
        <v>27</v>
      </c>
      <c r="F47" s="13" t="n">
        <v>0.76</v>
      </c>
      <c r="G47" s="8" t="n">
        <v>9449.328571428572</v>
      </c>
      <c r="H47" s="8" t="n">
        <v>0</v>
      </c>
      <c r="I47" s="8" t="n">
        <v>3106.731269471678</v>
      </c>
      <c r="J47" s="8" t="n">
        <v>12123.36870049685</v>
      </c>
      <c r="K47" s="8" t="n">
        <v>0</v>
      </c>
      <c r="L47" s="8" t="n">
        <v>24679.4285413971</v>
      </c>
    </row>
    <row r="48">
      <c r="A48" t="inlineStr">
        <is>
          <t>S001-애플민트</t>
        </is>
      </c>
      <c r="B48" t="inlineStr">
        <is>
          <t>부산 금정구 농장</t>
        </is>
      </c>
      <c r="C48" t="inlineStr">
        <is>
          <t>애플민트</t>
        </is>
      </c>
      <c r="D48" t="inlineStr">
        <is>
          <t>9월</t>
        </is>
      </c>
      <c r="E48" s="12" t="n">
        <v>22</v>
      </c>
      <c r="F48" s="13" t="n">
        <v>0.7</v>
      </c>
      <c r="G48" s="8" t="n">
        <v>9449.328571428572</v>
      </c>
      <c r="H48" s="8" t="n">
        <v>0</v>
      </c>
      <c r="I48" s="8" t="n">
        <v>2992.287380952381</v>
      </c>
      <c r="J48" s="8" t="n">
        <v>12089.79142800048</v>
      </c>
      <c r="K48" s="8" t="n">
        <v>0</v>
      </c>
      <c r="L48" s="8" t="n">
        <v>24531.40738038144</v>
      </c>
    </row>
    <row r="49">
      <c r="A49" t="inlineStr">
        <is>
          <t>S001-애플민트</t>
        </is>
      </c>
      <c r="B49" t="inlineStr">
        <is>
          <t>부산 금정구 농장</t>
        </is>
      </c>
      <c r="C49" t="inlineStr">
        <is>
          <t>애플민트</t>
        </is>
      </c>
      <c r="D49" t="inlineStr">
        <is>
          <t>10월</t>
        </is>
      </c>
      <c r="E49" s="12" t="n">
        <v>15</v>
      </c>
      <c r="F49" s="13" t="n">
        <v>0.62</v>
      </c>
      <c r="G49" s="8" t="n">
        <v>9449.328571428572</v>
      </c>
      <c r="H49" s="8" t="n">
        <v>60.08304147263112</v>
      </c>
      <c r="I49" s="8" t="n">
        <v>2912.176658988873</v>
      </c>
      <c r="J49" s="8" t="n">
        <v>12035.71789956516</v>
      </c>
      <c r="K49" s="8" t="n">
        <v>0</v>
      </c>
      <c r="L49" s="8" t="n">
        <v>24457.30617145524</v>
      </c>
    </row>
    <row r="50">
      <c r="A50" t="inlineStr">
        <is>
          <t>S001-애플민트</t>
        </is>
      </c>
      <c r="B50" t="inlineStr">
        <is>
          <t>부산 금정구 농장</t>
        </is>
      </c>
      <c r="C50" t="inlineStr">
        <is>
          <t>애플민트</t>
        </is>
      </c>
      <c r="D50" t="inlineStr">
        <is>
          <t>11월</t>
        </is>
      </c>
      <c r="E50" s="12" t="n">
        <v>7</v>
      </c>
      <c r="F50" s="13" t="n">
        <v>0.58</v>
      </c>
      <c r="G50" s="8" t="n">
        <v>9449.328571428572</v>
      </c>
      <c r="H50" s="8" t="n">
        <v>128.7493745842095</v>
      </c>
      <c r="I50" s="8" t="n">
        <v>2820.621548173435</v>
      </c>
      <c r="J50" s="8" t="n">
        <v>12030.30398822706</v>
      </c>
      <c r="K50" s="8" t="n">
        <v>0</v>
      </c>
      <c r="L50" s="8" t="n">
        <v>24429.00348241328</v>
      </c>
    </row>
    <row r="51">
      <c r="A51" t="inlineStr">
        <is>
          <t>S001-애플민트</t>
        </is>
      </c>
      <c r="B51" t="inlineStr">
        <is>
          <t>부산 금정구 농장</t>
        </is>
      </c>
      <c r="C51" t="inlineStr">
        <is>
          <t>애플민트</t>
        </is>
      </c>
      <c r="D51" t="inlineStr">
        <is>
          <t>12월</t>
        </is>
      </c>
      <c r="E51" s="12" t="n">
        <v>0</v>
      </c>
      <c r="F51" s="13" t="n">
        <v>0.55</v>
      </c>
      <c r="G51" s="8" t="n">
        <v>9449.328571428572</v>
      </c>
      <c r="H51" s="8" t="n">
        <v>188.8324160568407</v>
      </c>
      <c r="I51" s="8" t="n">
        <v>2740.510826209927</v>
      </c>
      <c r="J51" s="8" t="n">
        <v>12047.90965739331</v>
      </c>
      <c r="K51" s="8" t="n">
        <v>0</v>
      </c>
      <c r="L51" s="8" t="n">
        <v>24426.58147108865</v>
      </c>
    </row>
    <row r="52">
      <c r="A52" t="inlineStr">
        <is>
          <t>S001-쪽파</t>
        </is>
      </c>
      <c r="B52" t="inlineStr">
        <is>
          <t>부산 금정구 농장</t>
        </is>
      </c>
      <c r="C52" t="inlineStr">
        <is>
          <t>쪽파</t>
        </is>
      </c>
      <c r="D52" t="inlineStr">
        <is>
          <t>1월</t>
        </is>
      </c>
      <c r="E52" s="12" t="n">
        <v>-2</v>
      </c>
      <c r="F52" s="13" t="n">
        <v>0.55</v>
      </c>
      <c r="G52" s="8" t="n">
        <v>11116.85714285714</v>
      </c>
      <c r="H52" s="8" t="n">
        <v>125.8882773712271</v>
      </c>
      <c r="I52" s="8" t="n">
        <v>3184.636022248156</v>
      </c>
      <c r="J52" s="8" t="n">
        <v>12068.36281500288</v>
      </c>
      <c r="K52" s="8" t="n">
        <v>0</v>
      </c>
      <c r="L52" s="8" t="n">
        <v>26495.74425747941</v>
      </c>
    </row>
    <row r="53">
      <c r="A53" t="inlineStr">
        <is>
          <t>S001-쪽파</t>
        </is>
      </c>
      <c r="B53" t="inlineStr">
        <is>
          <t>부산 금정구 농장</t>
        </is>
      </c>
      <c r="C53" t="inlineStr">
        <is>
          <t>쪽파</t>
        </is>
      </c>
      <c r="D53" t="inlineStr">
        <is>
          <t>2월</t>
        </is>
      </c>
      <c r="E53" s="12" t="n">
        <v>1</v>
      </c>
      <c r="F53" s="13" t="n">
        <v>0.52</v>
      </c>
      <c r="G53" s="8" t="n">
        <v>11116.85714285714</v>
      </c>
      <c r="H53" s="8" t="n">
        <v>108.7216940933325</v>
      </c>
      <c r="I53" s="8" t="n">
        <v>3230.413577655876</v>
      </c>
      <c r="J53" s="8" t="n">
        <v>12044.49730235542</v>
      </c>
      <c r="K53" s="8" t="n">
        <v>0</v>
      </c>
      <c r="L53" s="8" t="n">
        <v>26500.48971696177</v>
      </c>
    </row>
    <row r="54">
      <c r="A54" t="inlineStr">
        <is>
          <t>S001-쪽파</t>
        </is>
      </c>
      <c r="B54" t="inlineStr">
        <is>
          <t>부산 금정구 농장</t>
        </is>
      </c>
      <c r="C54" t="inlineStr">
        <is>
          <t>쪽파</t>
        </is>
      </c>
      <c r="D54" t="inlineStr">
        <is>
          <t>3월</t>
        </is>
      </c>
      <c r="E54" s="12" t="n">
        <v>7</v>
      </c>
      <c r="F54" s="13" t="n">
        <v>0.55</v>
      </c>
      <c r="G54" s="8" t="n">
        <v>11116.85714285714</v>
      </c>
      <c r="H54" s="8" t="n">
        <v>74.3885275375433</v>
      </c>
      <c r="I54" s="8" t="n">
        <v>3321.968688471314</v>
      </c>
      <c r="J54" s="8" t="n">
        <v>12011.78863170348</v>
      </c>
      <c r="K54" s="8" t="n">
        <v>0</v>
      </c>
      <c r="L54" s="8" t="n">
        <v>26525.00299056948</v>
      </c>
    </row>
    <row r="55">
      <c r="A55" t="inlineStr">
        <is>
          <t>S001-쪽파</t>
        </is>
      </c>
      <c r="B55" t="inlineStr">
        <is>
          <t>부산 금정구 농장</t>
        </is>
      </c>
      <c r="C55" t="inlineStr">
        <is>
          <t>쪽파</t>
        </is>
      </c>
      <c r="D55" t="inlineStr">
        <is>
          <t>4월</t>
        </is>
      </c>
      <c r="E55" s="12" t="n">
        <v>14</v>
      </c>
      <c r="F55" s="13" t="n">
        <v>0.58</v>
      </c>
      <c r="G55" s="8" t="n">
        <v>11116.85714285714</v>
      </c>
      <c r="H55" s="8" t="n">
        <v>34.33316655578921</v>
      </c>
      <c r="I55" s="8" t="n">
        <v>3428.782984422658</v>
      </c>
      <c r="J55" s="8" t="n">
        <v>11990.63125649145</v>
      </c>
      <c r="K55" s="8" t="n">
        <v>0</v>
      </c>
      <c r="L55" s="8" t="n">
        <v>26570.60455032704</v>
      </c>
    </row>
    <row r="56">
      <c r="A56" t="inlineStr">
        <is>
          <t>S001-쪽파</t>
        </is>
      </c>
      <c r="B56" t="inlineStr">
        <is>
          <t>부산 금정구 농장</t>
        </is>
      </c>
      <c r="C56" t="inlineStr">
        <is>
          <t>쪽파</t>
        </is>
      </c>
      <c r="D56" t="inlineStr">
        <is>
          <t>5월</t>
        </is>
      </c>
      <c r="E56" s="12" t="n">
        <v>19</v>
      </c>
      <c r="F56" s="13" t="n">
        <v>0.65</v>
      </c>
      <c r="G56" s="8" t="n">
        <v>11116.85714285714</v>
      </c>
      <c r="H56" s="8" t="n">
        <v>5.722194425964868</v>
      </c>
      <c r="I56" s="8" t="n">
        <v>3505.078910102189</v>
      </c>
      <c r="J56" s="8" t="n">
        <v>12006.52431995521</v>
      </c>
      <c r="K56" s="8" t="n">
        <v>0</v>
      </c>
      <c r="L56" s="8" t="n">
        <v>26634.18256734051</v>
      </c>
    </row>
    <row r="57">
      <c r="A57" t="inlineStr">
        <is>
          <t>S001-쪽파</t>
        </is>
      </c>
      <c r="B57" t="inlineStr">
        <is>
          <t>부산 금정구 농장</t>
        </is>
      </c>
      <c r="C57" t="inlineStr">
        <is>
          <t>쪽파</t>
        </is>
      </c>
      <c r="D57" t="inlineStr">
        <is>
          <t>6월</t>
        </is>
      </c>
      <c r="E57" s="12" t="n">
        <v>23</v>
      </c>
      <c r="F57" s="13" t="n">
        <v>0.72</v>
      </c>
      <c r="G57" s="8" t="n">
        <v>11116.85714285714</v>
      </c>
      <c r="H57" s="8" t="n">
        <v>0</v>
      </c>
      <c r="I57" s="8" t="n">
        <v>3589.004428349675</v>
      </c>
      <c r="J57" s="8" t="n">
        <v>12027.57962845018</v>
      </c>
      <c r="K57" s="8" t="n">
        <v>0</v>
      </c>
      <c r="L57" s="8" t="n">
        <v>26733.441199657</v>
      </c>
    </row>
    <row r="58">
      <c r="A58" t="inlineStr">
        <is>
          <t>S001-쪽파</t>
        </is>
      </c>
      <c r="B58" t="inlineStr">
        <is>
          <t>부산 금정구 농장</t>
        </is>
      </c>
      <c r="C58" t="inlineStr">
        <is>
          <t>쪽파</t>
        </is>
      </c>
      <c r="D58" t="inlineStr">
        <is>
          <t>7월</t>
        </is>
      </c>
      <c r="E58" s="12" t="n">
        <v>26</v>
      </c>
      <c r="F58" s="13" t="n">
        <v>0.78</v>
      </c>
      <c r="G58" s="8" t="n">
        <v>11116.85714285714</v>
      </c>
      <c r="H58" s="8" t="n">
        <v>0</v>
      </c>
      <c r="I58" s="8" t="n">
        <v>3657.670761461252</v>
      </c>
      <c r="J58" s="8" t="n">
        <v>12058.80862128522</v>
      </c>
      <c r="K58" s="8" t="n">
        <v>0</v>
      </c>
      <c r="L58" s="8" t="n">
        <v>26833.33652560361</v>
      </c>
    </row>
    <row r="59">
      <c r="A59" t="inlineStr">
        <is>
          <t>S001-쪽파</t>
        </is>
      </c>
      <c r="B59" t="inlineStr">
        <is>
          <t>부산 금정구 농장</t>
        </is>
      </c>
      <c r="C59" t="inlineStr">
        <is>
          <t>쪽파</t>
        </is>
      </c>
      <c r="D59" t="inlineStr">
        <is>
          <t>8월</t>
        </is>
      </c>
      <c r="E59" s="12" t="n">
        <v>27</v>
      </c>
      <c r="F59" s="13" t="n">
        <v>0.76</v>
      </c>
      <c r="G59" s="8" t="n">
        <v>11116.85714285714</v>
      </c>
      <c r="H59" s="8" t="n">
        <v>0</v>
      </c>
      <c r="I59" s="8" t="n">
        <v>3680.559539165112</v>
      </c>
      <c r="J59" s="8" t="n">
        <v>12053.5444560249</v>
      </c>
      <c r="K59" s="8" t="n">
        <v>0</v>
      </c>
      <c r="L59" s="8" t="n">
        <v>26850.96113804716</v>
      </c>
    </row>
    <row r="60">
      <c r="A60" t="inlineStr">
        <is>
          <t>S001-쪽파</t>
        </is>
      </c>
      <c r="B60" t="inlineStr">
        <is>
          <t>부산 금정구 농장</t>
        </is>
      </c>
      <c r="C60" t="inlineStr">
        <is>
          <t>쪽파</t>
        </is>
      </c>
      <c r="D60" t="inlineStr">
        <is>
          <t>9월</t>
        </is>
      </c>
      <c r="E60" s="12" t="n">
        <v>22</v>
      </c>
      <c r="F60" s="13" t="n">
        <v>0.7</v>
      </c>
      <c r="G60" s="8" t="n">
        <v>11116.85714285714</v>
      </c>
      <c r="H60" s="8" t="n">
        <v>0</v>
      </c>
      <c r="I60" s="8" t="n">
        <v>3566.115650645815</v>
      </c>
      <c r="J60" s="8" t="n">
        <v>12020.66134229909</v>
      </c>
      <c r="K60" s="8" t="n">
        <v>0</v>
      </c>
      <c r="L60" s="8" t="n">
        <v>26703.63413580205</v>
      </c>
    </row>
    <row r="61">
      <c r="A61" t="inlineStr">
        <is>
          <t>S001-쪽파</t>
        </is>
      </c>
      <c r="B61" t="inlineStr">
        <is>
          <t>부산 금정구 농장</t>
        </is>
      </c>
      <c r="C61" t="inlineStr">
        <is>
          <t>쪽파</t>
        </is>
      </c>
      <c r="D61" t="inlineStr">
        <is>
          <t>10월</t>
        </is>
      </c>
      <c r="E61" s="12" t="n">
        <v>15</v>
      </c>
      <c r="F61" s="13" t="n">
        <v>0.62</v>
      </c>
      <c r="G61" s="8" t="n">
        <v>11116.85714285714</v>
      </c>
      <c r="H61" s="8" t="n">
        <v>28.61097212982434</v>
      </c>
      <c r="I61" s="8" t="n">
        <v>3444.042169558564</v>
      </c>
      <c r="J61" s="8" t="n">
        <v>11998.26944878759</v>
      </c>
      <c r="K61" s="8" t="n">
        <v>0</v>
      </c>
      <c r="L61" s="8" t="n">
        <v>26587.77973333312</v>
      </c>
    </row>
    <row r="62">
      <c r="A62" t="inlineStr">
        <is>
          <t>S001-쪽파</t>
        </is>
      </c>
      <c r="B62" t="inlineStr">
        <is>
          <t>부산 금정구 농장</t>
        </is>
      </c>
      <c r="C62" t="inlineStr">
        <is>
          <t>쪽파</t>
        </is>
      </c>
      <c r="D62" t="inlineStr">
        <is>
          <t>11월</t>
        </is>
      </c>
      <c r="E62" s="12" t="n">
        <v>7</v>
      </c>
      <c r="F62" s="13" t="n">
        <v>0.58</v>
      </c>
      <c r="G62" s="8" t="n">
        <v>11116.85714285714</v>
      </c>
      <c r="H62" s="8" t="n">
        <v>74.3885275375433</v>
      </c>
      <c r="I62" s="8" t="n">
        <v>3321.968688471314</v>
      </c>
      <c r="J62" s="8" t="n">
        <v>12016.19812725627</v>
      </c>
      <c r="K62" s="8" t="n">
        <v>0</v>
      </c>
      <c r="L62" s="8" t="n">
        <v>26529.41248612227</v>
      </c>
    </row>
    <row r="63">
      <c r="A63" t="inlineStr">
        <is>
          <t>S001-쪽파</t>
        </is>
      </c>
      <c r="B63" t="inlineStr">
        <is>
          <t>부산 금정구 농장</t>
        </is>
      </c>
      <c r="C63" t="inlineStr">
        <is>
          <t>쪽파</t>
        </is>
      </c>
      <c r="D63" t="inlineStr">
        <is>
          <t>12월</t>
        </is>
      </c>
      <c r="E63" s="12" t="n">
        <v>0</v>
      </c>
      <c r="F63" s="13" t="n">
        <v>0.55</v>
      </c>
      <c r="G63" s="8" t="n">
        <v>11116.85714285714</v>
      </c>
      <c r="H63" s="8" t="n">
        <v>114.4438885192974</v>
      </c>
      <c r="I63" s="8" t="n">
        <v>3215.154392519969</v>
      </c>
      <c r="J63" s="8" t="n">
        <v>12054.22302809044</v>
      </c>
      <c r="K63" s="8" t="n">
        <v>0</v>
      </c>
      <c r="L63" s="8" t="n">
        <v>26500.67845198685</v>
      </c>
    </row>
    <row r="64">
      <c r="A64" t="inlineStr">
        <is>
          <t>S001-병풀</t>
        </is>
      </c>
      <c r="B64" t="inlineStr">
        <is>
          <t>부산 금정구 농장</t>
        </is>
      </c>
      <c r="C64" t="inlineStr">
        <is>
          <t>병풀</t>
        </is>
      </c>
      <c r="D64" t="inlineStr">
        <is>
          <t>1월</t>
        </is>
      </c>
      <c r="E64" s="12" t="n">
        <v>-2</v>
      </c>
      <c r="F64" s="13" t="n">
        <v>0.55</v>
      </c>
      <c r="G64" s="8" t="n">
        <v>8337.642857142859</v>
      </c>
      <c r="H64" s="8" t="n">
        <v>223.1655826126299</v>
      </c>
      <c r="I64" s="8" t="n">
        <v>2342.699461278398</v>
      </c>
      <c r="J64" s="8" t="n">
        <v>12644.43613970929</v>
      </c>
      <c r="K64" s="8" t="n">
        <v>0</v>
      </c>
      <c r="L64" s="8" t="n">
        <v>23547.94404074317</v>
      </c>
    </row>
    <row r="65">
      <c r="A65" t="inlineStr">
        <is>
          <t>S001-병풀</t>
        </is>
      </c>
      <c r="B65" t="inlineStr">
        <is>
          <t>부산 금정구 농장</t>
        </is>
      </c>
      <c r="C65" t="inlineStr">
        <is>
          <t>병풀</t>
        </is>
      </c>
      <c r="D65" t="inlineStr">
        <is>
          <t>2월</t>
        </is>
      </c>
      <c r="E65" s="12" t="n">
        <v>1</v>
      </c>
      <c r="F65" s="13" t="n">
        <v>0.52</v>
      </c>
      <c r="G65" s="8" t="n">
        <v>8337.642857142859</v>
      </c>
      <c r="H65" s="8" t="n">
        <v>197.4157076957879</v>
      </c>
      <c r="I65" s="8" t="n">
        <v>2377.032627834188</v>
      </c>
      <c r="J65" s="8" t="n">
        <v>12629.44288547724</v>
      </c>
      <c r="K65" s="8" t="n">
        <v>0</v>
      </c>
      <c r="L65" s="8" t="n">
        <v>23541.53407815008</v>
      </c>
    </row>
    <row r="66">
      <c r="A66" t="inlineStr">
        <is>
          <t>S001-병풀</t>
        </is>
      </c>
      <c r="B66" t="inlineStr">
        <is>
          <t>부산 금정구 농장</t>
        </is>
      </c>
      <c r="C66" t="inlineStr">
        <is>
          <t>병풀</t>
        </is>
      </c>
      <c r="D66" t="inlineStr">
        <is>
          <t>3월</t>
        </is>
      </c>
      <c r="E66" s="12" t="n">
        <v>7</v>
      </c>
      <c r="F66" s="13" t="n">
        <v>0.55</v>
      </c>
      <c r="G66" s="8" t="n">
        <v>8337.642857142859</v>
      </c>
      <c r="H66" s="8" t="n">
        <v>145.9159578621041</v>
      </c>
      <c r="I66" s="8" t="n">
        <v>2445.698960945766</v>
      </c>
      <c r="J66" s="8" t="n">
        <v>12614.49059700049</v>
      </c>
      <c r="K66" s="8" t="n">
        <v>0</v>
      </c>
      <c r="L66" s="8" t="n">
        <v>23543.74837295122</v>
      </c>
    </row>
    <row r="67">
      <c r="A67" t="inlineStr">
        <is>
          <t>S001-병풀</t>
        </is>
      </c>
      <c r="B67" t="inlineStr">
        <is>
          <t>부산 금정구 농장</t>
        </is>
      </c>
      <c r="C67" t="inlineStr">
        <is>
          <t>병풀</t>
        </is>
      </c>
      <c r="D67" t="inlineStr">
        <is>
          <t>4월</t>
        </is>
      </c>
      <c r="E67" s="12" t="n">
        <v>14</v>
      </c>
      <c r="F67" s="13" t="n">
        <v>0.58</v>
      </c>
      <c r="G67" s="8" t="n">
        <v>8337.642857142859</v>
      </c>
      <c r="H67" s="8" t="n">
        <v>85.83291638947301</v>
      </c>
      <c r="I67" s="8" t="n">
        <v>2525.809682909274</v>
      </c>
      <c r="J67" s="8" t="n">
        <v>12614.04915256301</v>
      </c>
      <c r="K67" s="8" t="n">
        <v>0</v>
      </c>
      <c r="L67" s="8" t="n">
        <v>23563.33460900462</v>
      </c>
    </row>
    <row r="68">
      <c r="A68" t="inlineStr">
        <is>
          <t>S001-병풀</t>
        </is>
      </c>
      <c r="B68" t="inlineStr">
        <is>
          <t>부산 금정구 농장</t>
        </is>
      </c>
      <c r="C68" t="inlineStr">
        <is>
          <t>병풀</t>
        </is>
      </c>
      <c r="D68" t="inlineStr">
        <is>
          <t>5월</t>
        </is>
      </c>
      <c r="E68" s="12" t="n">
        <v>19</v>
      </c>
      <c r="F68" s="13" t="n">
        <v>0.65</v>
      </c>
      <c r="G68" s="8" t="n">
        <v>8337.642857142859</v>
      </c>
      <c r="H68" s="8" t="n">
        <v>42.91645819473651</v>
      </c>
      <c r="I68" s="8" t="n">
        <v>2583.031627168923</v>
      </c>
      <c r="J68" s="8" t="n">
        <v>12644.79499280867</v>
      </c>
      <c r="K68" s="8" t="n">
        <v>0</v>
      </c>
      <c r="L68" s="8" t="n">
        <v>23608.38593531519</v>
      </c>
    </row>
    <row r="69">
      <c r="A69" t="inlineStr">
        <is>
          <t>S001-병풀</t>
        </is>
      </c>
      <c r="B69" t="inlineStr">
        <is>
          <t>부산 금정구 농장</t>
        </is>
      </c>
      <c r="C69" t="inlineStr">
        <is>
          <t>병풀</t>
        </is>
      </c>
      <c r="D69" t="inlineStr">
        <is>
          <t>6월</t>
        </is>
      </c>
      <c r="E69" s="12" t="n">
        <v>23</v>
      </c>
      <c r="F69" s="13" t="n">
        <v>0.72</v>
      </c>
      <c r="G69" s="8" t="n">
        <v>8337.642857142859</v>
      </c>
      <c r="H69" s="8" t="n">
        <v>8.583291638947301</v>
      </c>
      <c r="I69" s="8" t="n">
        <v>2628.809182576641</v>
      </c>
      <c r="J69" s="8" t="n">
        <v>12694.57677540192</v>
      </c>
      <c r="K69" s="8" t="n">
        <v>0</v>
      </c>
      <c r="L69" s="8" t="n">
        <v>23669.61210676037</v>
      </c>
    </row>
    <row r="70">
      <c r="A70" t="inlineStr">
        <is>
          <t>S001-병풀</t>
        </is>
      </c>
      <c r="B70" t="inlineStr">
        <is>
          <t>부산 금정구 농장</t>
        </is>
      </c>
      <c r="C70" t="inlineStr">
        <is>
          <t>병풀</t>
        </is>
      </c>
      <c r="D70" t="inlineStr">
        <is>
          <t>7월</t>
        </is>
      </c>
      <c r="E70" s="12" t="n">
        <v>26</v>
      </c>
      <c r="F70" s="13" t="n">
        <v>0.78</v>
      </c>
      <c r="G70" s="8" t="n">
        <v>8337.642857142859</v>
      </c>
      <c r="H70" s="8" t="n">
        <v>0</v>
      </c>
      <c r="I70" s="8" t="n">
        <v>2686.031126836291</v>
      </c>
      <c r="J70" s="8" t="n">
        <v>12734.80071330423</v>
      </c>
      <c r="K70" s="8" t="n">
        <v>0</v>
      </c>
      <c r="L70" s="8" t="n">
        <v>23758.47469728338</v>
      </c>
    </row>
    <row r="71">
      <c r="A71" t="inlineStr">
        <is>
          <t>S001-병풀</t>
        </is>
      </c>
      <c r="B71" t="inlineStr">
        <is>
          <t>부산 금정구 농장</t>
        </is>
      </c>
      <c r="C71" t="inlineStr">
        <is>
          <t>병풀</t>
        </is>
      </c>
      <c r="D71" t="inlineStr">
        <is>
          <t>8월</t>
        </is>
      </c>
      <c r="E71" s="12" t="n">
        <v>27</v>
      </c>
      <c r="F71" s="13" t="n">
        <v>0.76</v>
      </c>
      <c r="G71" s="8" t="n">
        <v>8337.642857142859</v>
      </c>
      <c r="H71" s="8" t="n">
        <v>0</v>
      </c>
      <c r="I71" s="8" t="n">
        <v>2708.91990454015</v>
      </c>
      <c r="J71" s="8" t="n">
        <v>12729.69195394656</v>
      </c>
      <c r="K71" s="8" t="n">
        <v>0</v>
      </c>
      <c r="L71" s="8" t="n">
        <v>23776.25471562957</v>
      </c>
    </row>
    <row r="72">
      <c r="A72" t="inlineStr">
        <is>
          <t>S001-병풀</t>
        </is>
      </c>
      <c r="B72" t="inlineStr">
        <is>
          <t>부산 금정구 농장</t>
        </is>
      </c>
      <c r="C72" t="inlineStr">
        <is>
          <t>병풀</t>
        </is>
      </c>
      <c r="D72" t="inlineStr">
        <is>
          <t>9월</t>
        </is>
      </c>
      <c r="E72" s="12" t="n">
        <v>22</v>
      </c>
      <c r="F72" s="13" t="n">
        <v>0.7</v>
      </c>
      <c r="G72" s="8" t="n">
        <v>8337.642857142859</v>
      </c>
      <c r="H72" s="8" t="n">
        <v>17.1665832778946</v>
      </c>
      <c r="I72" s="8" t="n">
        <v>2617.364793724712</v>
      </c>
      <c r="J72" s="8" t="n">
        <v>12679.07054313646</v>
      </c>
      <c r="K72" s="8" t="n">
        <v>0</v>
      </c>
      <c r="L72" s="8" t="n">
        <v>23651.24477728192</v>
      </c>
    </row>
    <row r="73">
      <c r="A73" t="inlineStr">
        <is>
          <t>S001-병풀</t>
        </is>
      </c>
      <c r="B73" t="inlineStr">
        <is>
          <t>부산 금정구 농장</t>
        </is>
      </c>
      <c r="C73" t="inlineStr">
        <is>
          <t>병풀</t>
        </is>
      </c>
      <c r="D73" t="inlineStr">
        <is>
          <t>10월</t>
        </is>
      </c>
      <c r="E73" s="12" t="n">
        <v>15</v>
      </c>
      <c r="F73" s="13" t="n">
        <v>0.62</v>
      </c>
      <c r="G73" s="8" t="n">
        <v>8337.642857142859</v>
      </c>
      <c r="H73" s="8" t="n">
        <v>77.24962475052573</v>
      </c>
      <c r="I73" s="8" t="n">
        <v>2537.254071761204</v>
      </c>
      <c r="J73" s="8" t="n">
        <v>12624.67184591024</v>
      </c>
      <c r="K73" s="8" t="n">
        <v>0</v>
      </c>
      <c r="L73" s="8" t="n">
        <v>23576.81839956483</v>
      </c>
    </row>
    <row r="74">
      <c r="A74" t="inlineStr">
        <is>
          <t>S001-병풀</t>
        </is>
      </c>
      <c r="B74" t="inlineStr">
        <is>
          <t>부산 금정구 농장</t>
        </is>
      </c>
      <c r="C74" t="inlineStr">
        <is>
          <t>병풀</t>
        </is>
      </c>
      <c r="D74" t="inlineStr">
        <is>
          <t>11월</t>
        </is>
      </c>
      <c r="E74" s="12" t="n">
        <v>7</v>
      </c>
      <c r="F74" s="13" t="n">
        <v>0.58</v>
      </c>
      <c r="G74" s="8" t="n">
        <v>8337.642857142859</v>
      </c>
      <c r="H74" s="8" t="n">
        <v>145.9159578621041</v>
      </c>
      <c r="I74" s="8" t="n">
        <v>2445.698960945766</v>
      </c>
      <c r="J74" s="8" t="n">
        <v>12618.91205814045</v>
      </c>
      <c r="K74" s="8" t="n">
        <v>0</v>
      </c>
      <c r="L74" s="8" t="n">
        <v>23548.16983409118</v>
      </c>
    </row>
    <row r="75">
      <c r="A75" t="inlineStr">
        <is>
          <t>S001-병풀</t>
        </is>
      </c>
      <c r="B75" t="inlineStr">
        <is>
          <t>부산 금정구 농장</t>
        </is>
      </c>
      <c r="C75" t="inlineStr">
        <is>
          <t>병풀</t>
        </is>
      </c>
      <c r="D75" t="inlineStr">
        <is>
          <t>12월</t>
        </is>
      </c>
      <c r="E75" s="12" t="n">
        <v>0</v>
      </c>
      <c r="F75" s="13" t="n">
        <v>0.55</v>
      </c>
      <c r="G75" s="8" t="n">
        <v>8337.642857142859</v>
      </c>
      <c r="H75" s="8" t="n">
        <v>205.9989993347352</v>
      </c>
      <c r="I75" s="8" t="n">
        <v>2365.588238982258</v>
      </c>
      <c r="J75" s="8" t="n">
        <v>12636.21709408227</v>
      </c>
      <c r="K75" s="8" t="n">
        <v>0</v>
      </c>
      <c r="L75" s="8" t="n">
        <v>23545.44718954212</v>
      </c>
    </row>
    <row r="76">
      <c r="A76" t="inlineStr">
        <is>
          <t>S002-상추</t>
        </is>
      </c>
      <c r="B76" t="inlineStr">
        <is>
          <t>부산 해운대 농장</t>
        </is>
      </c>
      <c r="C76" t="inlineStr">
        <is>
          <t>상추</t>
        </is>
      </c>
      <c r="D76" t="inlineStr">
        <is>
          <t>1월</t>
        </is>
      </c>
      <c r="E76" s="12" t="n">
        <v>-2</v>
      </c>
      <c r="F76" s="13" t="n">
        <v>0.55</v>
      </c>
      <c r="G76" s="8" t="n">
        <v>5592.321428571429</v>
      </c>
      <c r="H76" s="8" t="n">
        <v>83.82813609803635</v>
      </c>
      <c r="I76" s="8" t="n">
        <v>1584.617038829761</v>
      </c>
      <c r="J76" s="8" t="n">
        <v>7106.530512576256</v>
      </c>
      <c r="K76" s="8" t="n">
        <v>0</v>
      </c>
      <c r="L76" s="8" t="n">
        <v>14367.29711607548</v>
      </c>
    </row>
    <row r="77">
      <c r="A77" t="inlineStr">
        <is>
          <t>S002-상추</t>
        </is>
      </c>
      <c r="B77" t="inlineStr">
        <is>
          <t>부산 해운대 농장</t>
        </is>
      </c>
      <c r="C77" t="inlineStr">
        <is>
          <t>상추</t>
        </is>
      </c>
      <c r="D77" t="inlineStr">
        <is>
          <t>2월</t>
        </is>
      </c>
      <c r="E77" s="12" t="n">
        <v>1</v>
      </c>
      <c r="F77" s="13" t="n">
        <v>0.52</v>
      </c>
      <c r="G77" s="8" t="n">
        <v>5592.321428571429</v>
      </c>
      <c r="H77" s="8" t="n">
        <v>72.39702663012231</v>
      </c>
      <c r="I77" s="8" t="n">
        <v>1610.019504314014</v>
      </c>
      <c r="J77" s="8" t="n">
        <v>7091.888065932246</v>
      </c>
      <c r="K77" s="8" t="n">
        <v>0</v>
      </c>
      <c r="L77" s="8" t="n">
        <v>14366.62602544781</v>
      </c>
    </row>
    <row r="78">
      <c r="A78" t="inlineStr">
        <is>
          <t>S002-상추</t>
        </is>
      </c>
      <c r="B78" t="inlineStr">
        <is>
          <t>부산 해운대 농장</t>
        </is>
      </c>
      <c r="C78" t="inlineStr">
        <is>
          <t>상추</t>
        </is>
      </c>
      <c r="D78" t="inlineStr">
        <is>
          <t>3월</t>
        </is>
      </c>
      <c r="E78" s="12" t="n">
        <v>7</v>
      </c>
      <c r="F78" s="13" t="n">
        <v>0.55</v>
      </c>
      <c r="G78" s="8" t="n">
        <v>5592.321428571429</v>
      </c>
      <c r="H78" s="8" t="n">
        <v>49.53480769429422</v>
      </c>
      <c r="I78" s="8" t="n">
        <v>1660.824435282521</v>
      </c>
      <c r="J78" s="8" t="n">
        <v>7068.650813804301</v>
      </c>
      <c r="K78" s="8" t="n">
        <v>0</v>
      </c>
      <c r="L78" s="8" t="n">
        <v>14371.33148535255</v>
      </c>
    </row>
    <row r="79">
      <c r="A79" t="inlineStr">
        <is>
          <t>S002-상추</t>
        </is>
      </c>
      <c r="B79" t="inlineStr">
        <is>
          <t>부산 해운대 농장</t>
        </is>
      </c>
      <c r="C79" t="inlineStr">
        <is>
          <t>상추</t>
        </is>
      </c>
      <c r="D79" t="inlineStr">
        <is>
          <t>4월</t>
        </is>
      </c>
      <c r="E79" s="12" t="n">
        <v>14</v>
      </c>
      <c r="F79" s="13" t="n">
        <v>0.58</v>
      </c>
      <c r="G79" s="8" t="n">
        <v>5592.321428571429</v>
      </c>
      <c r="H79" s="8" t="n">
        <v>22.8622189358281</v>
      </c>
      <c r="I79" s="8" t="n">
        <v>1720.096854745779</v>
      </c>
      <c r="J79" s="8" t="n">
        <v>7048.383278947364</v>
      </c>
      <c r="K79" s="8" t="n">
        <v>0</v>
      </c>
      <c r="L79" s="8" t="n">
        <v>14383.6637812004</v>
      </c>
    </row>
    <row r="80">
      <c r="A80" t="inlineStr">
        <is>
          <t>S002-상추</t>
        </is>
      </c>
      <c r="B80" t="inlineStr">
        <is>
          <t>부산 해운대 농장</t>
        </is>
      </c>
      <c r="C80" t="inlineStr">
        <is>
          <t>상추</t>
        </is>
      </c>
      <c r="D80" t="inlineStr">
        <is>
          <t>5월</t>
        </is>
      </c>
      <c r="E80" s="12" t="n">
        <v>19</v>
      </c>
      <c r="F80" s="13" t="n">
        <v>0.65</v>
      </c>
      <c r="G80" s="8" t="n">
        <v>5592.321428571429</v>
      </c>
      <c r="H80" s="8" t="n">
        <v>3.810369822638016</v>
      </c>
      <c r="I80" s="8" t="n">
        <v>1762.434297219535</v>
      </c>
      <c r="J80" s="8" t="n">
        <v>7046.393945883101</v>
      </c>
      <c r="K80" s="8" t="n">
        <v>0</v>
      </c>
      <c r="L80" s="8" t="n">
        <v>14404.9600414967</v>
      </c>
    </row>
    <row r="81">
      <c r="A81" t="inlineStr">
        <is>
          <t>S002-상추</t>
        </is>
      </c>
      <c r="B81" t="inlineStr">
        <is>
          <t>부산 해운대 농장</t>
        </is>
      </c>
      <c r="C81" t="inlineStr">
        <is>
          <t>상추</t>
        </is>
      </c>
      <c r="D81" t="inlineStr">
        <is>
          <t>6월</t>
        </is>
      </c>
      <c r="E81" s="12" t="n">
        <v>23</v>
      </c>
      <c r="F81" s="13" t="n">
        <v>0.72</v>
      </c>
      <c r="G81" s="8" t="n">
        <v>5592.321428571429</v>
      </c>
      <c r="H81" s="8" t="n">
        <v>0</v>
      </c>
      <c r="I81" s="8" t="n">
        <v>1811.545730489091</v>
      </c>
      <c r="J81" s="8" t="n">
        <v>7043.744226478299</v>
      </c>
      <c r="K81" s="8" t="n">
        <v>0</v>
      </c>
      <c r="L81" s="8" t="n">
        <v>14447.61138553882</v>
      </c>
    </row>
    <row r="82">
      <c r="A82" t="inlineStr">
        <is>
          <t>S002-상추</t>
        </is>
      </c>
      <c r="B82" t="inlineStr">
        <is>
          <t>부산 해운대 농장</t>
        </is>
      </c>
      <c r="C82" t="inlineStr">
        <is>
          <t>상추</t>
        </is>
      </c>
      <c r="D82" t="inlineStr">
        <is>
          <t>7월</t>
        </is>
      </c>
      <c r="E82" s="12" t="n">
        <v>26</v>
      </c>
      <c r="F82" s="13" t="n">
        <v>0.78</v>
      </c>
      <c r="G82" s="8" t="n">
        <v>5592.321428571429</v>
      </c>
      <c r="H82" s="8" t="n">
        <v>0</v>
      </c>
      <c r="I82" s="8" t="n">
        <v>1852.189675263897</v>
      </c>
      <c r="J82" s="8" t="n">
        <v>7046.871279088126</v>
      </c>
      <c r="K82" s="8" t="n">
        <v>0</v>
      </c>
      <c r="L82" s="8" t="n">
        <v>14491.38238292345</v>
      </c>
    </row>
    <row r="83">
      <c r="A83" t="inlineStr">
        <is>
          <t>S002-상추</t>
        </is>
      </c>
      <c r="B83" t="inlineStr">
        <is>
          <t>부산 해운대 농장</t>
        </is>
      </c>
      <c r="C83" t="inlineStr">
        <is>
          <t>상추</t>
        </is>
      </c>
      <c r="D83" t="inlineStr">
        <is>
          <t>8월</t>
        </is>
      </c>
      <c r="E83" s="12" t="n">
        <v>27</v>
      </c>
      <c r="F83" s="13" t="n">
        <v>0.76</v>
      </c>
      <c r="G83" s="8" t="n">
        <v>5592.321428571429</v>
      </c>
      <c r="H83" s="8" t="n">
        <v>0</v>
      </c>
      <c r="I83" s="8" t="n">
        <v>1865.737656855499</v>
      </c>
      <c r="J83" s="8" t="n">
        <v>7041.598196148865</v>
      </c>
      <c r="K83" s="8" t="n">
        <v>0</v>
      </c>
      <c r="L83" s="8" t="n">
        <v>14499.65728157579</v>
      </c>
    </row>
    <row r="84">
      <c r="A84" t="inlineStr">
        <is>
          <t>S002-상추</t>
        </is>
      </c>
      <c r="B84" t="inlineStr">
        <is>
          <t>부산 해운대 농장</t>
        </is>
      </c>
      <c r="C84" t="inlineStr">
        <is>
          <t>상추</t>
        </is>
      </c>
      <c r="D84" t="inlineStr">
        <is>
          <t>9월</t>
        </is>
      </c>
      <c r="E84" s="12" t="n">
        <v>22</v>
      </c>
      <c r="F84" s="13" t="n">
        <v>0.7</v>
      </c>
      <c r="G84" s="8" t="n">
        <v>5592.321428571429</v>
      </c>
      <c r="H84" s="8" t="n">
        <v>0</v>
      </c>
      <c r="I84" s="8" t="n">
        <v>1797.997748897489</v>
      </c>
      <c r="J84" s="8" t="n">
        <v>7044.108290896196</v>
      </c>
      <c r="K84" s="8" t="n">
        <v>0</v>
      </c>
      <c r="L84" s="8" t="n">
        <v>14434.42746836511</v>
      </c>
    </row>
    <row r="85">
      <c r="A85" t="inlineStr">
        <is>
          <t>S002-상추</t>
        </is>
      </c>
      <c r="B85" t="inlineStr">
        <is>
          <t>부산 해운대 농장</t>
        </is>
      </c>
      <c r="C85" t="inlineStr">
        <is>
          <t>상추</t>
        </is>
      </c>
      <c r="D85" t="inlineStr">
        <is>
          <t>10월</t>
        </is>
      </c>
      <c r="E85" s="12" t="n">
        <v>15</v>
      </c>
      <c r="F85" s="13" t="n">
        <v>0.62</v>
      </c>
      <c r="G85" s="8" t="n">
        <v>5592.321428571429</v>
      </c>
      <c r="H85" s="8" t="n">
        <v>19.05184911319008</v>
      </c>
      <c r="I85" s="8" t="n">
        <v>1728.56434324053</v>
      </c>
      <c r="J85" s="8" t="n">
        <v>7049.782541689687</v>
      </c>
      <c r="K85" s="8" t="n">
        <v>0</v>
      </c>
      <c r="L85" s="8" t="n">
        <v>14389.72016261484</v>
      </c>
    </row>
    <row r="86">
      <c r="A86" t="inlineStr">
        <is>
          <t>S002-상추</t>
        </is>
      </c>
      <c r="B86" t="inlineStr">
        <is>
          <t>부산 해운대 농장</t>
        </is>
      </c>
      <c r="C86" t="inlineStr">
        <is>
          <t>상추</t>
        </is>
      </c>
      <c r="D86" t="inlineStr">
        <is>
          <t>11월</t>
        </is>
      </c>
      <c r="E86" s="12" t="n">
        <v>7</v>
      </c>
      <c r="F86" s="13" t="n">
        <v>0.58</v>
      </c>
      <c r="G86" s="8" t="n">
        <v>5592.321428571429</v>
      </c>
      <c r="H86" s="8" t="n">
        <v>49.53480769429422</v>
      </c>
      <c r="I86" s="8" t="n">
        <v>1660.824435282521</v>
      </c>
      <c r="J86" s="8" t="n">
        <v>7070.427443704815</v>
      </c>
      <c r="K86" s="8" t="n">
        <v>0</v>
      </c>
      <c r="L86" s="8" t="n">
        <v>14373.10811525306</v>
      </c>
    </row>
    <row r="87">
      <c r="A87" t="inlineStr">
        <is>
          <t>S002-상추</t>
        </is>
      </c>
      <c r="B87" t="inlineStr">
        <is>
          <t>부산 해운대 농장</t>
        </is>
      </c>
      <c r="C87" t="inlineStr">
        <is>
          <t>상추</t>
        </is>
      </c>
      <c r="D87" t="inlineStr">
        <is>
          <t>12월</t>
        </is>
      </c>
      <c r="E87" s="12" t="n">
        <v>0</v>
      </c>
      <c r="F87" s="13" t="n">
        <v>0.55</v>
      </c>
      <c r="G87" s="8" t="n">
        <v>5592.321428571429</v>
      </c>
      <c r="H87" s="8" t="n">
        <v>76.20739645276032</v>
      </c>
      <c r="I87" s="8" t="n">
        <v>1601.552015819263</v>
      </c>
      <c r="J87" s="8" t="n">
        <v>7097.482446290182</v>
      </c>
      <c r="K87" s="8" t="n">
        <v>0</v>
      </c>
      <c r="L87" s="8" t="n">
        <v>14367.56328713363</v>
      </c>
    </row>
    <row r="88">
      <c r="A88" t="inlineStr">
        <is>
          <t>S002-딸기</t>
        </is>
      </c>
      <c r="B88" t="inlineStr">
        <is>
          <t>부산 해운대 농장</t>
        </is>
      </c>
      <c r="C88" t="inlineStr">
        <is>
          <t>딸기</t>
        </is>
      </c>
      <c r="D88" t="inlineStr">
        <is>
          <t>1월</t>
        </is>
      </c>
      <c r="E88" s="12" t="n">
        <v>-2</v>
      </c>
      <c r="F88" s="13" t="n">
        <v>0.55</v>
      </c>
      <c r="G88" s="8" t="n">
        <v>3728.214285714286</v>
      </c>
      <c r="H88" s="8" t="n">
        <v>74.5138987538101</v>
      </c>
      <c r="I88" s="8" t="n">
        <v>981.8974604660303</v>
      </c>
      <c r="J88" s="8" t="n">
        <v>371.8992653191499</v>
      </c>
      <c r="K88" s="8" t="n">
        <v>0</v>
      </c>
      <c r="L88" s="8" t="n">
        <v>5156.524910253276</v>
      </c>
    </row>
    <row r="89">
      <c r="A89" t="inlineStr">
        <is>
          <t>S002-딸기</t>
        </is>
      </c>
      <c r="B89" t="inlineStr">
        <is>
          <t>부산 해운대 농장</t>
        </is>
      </c>
      <c r="C89" t="inlineStr">
        <is>
          <t>딸기</t>
        </is>
      </c>
      <c r="D89" t="inlineStr">
        <is>
          <t>2월</t>
        </is>
      </c>
      <c r="E89" s="12" t="n">
        <v>1</v>
      </c>
      <c r="F89" s="13" t="n">
        <v>0.52</v>
      </c>
      <c r="G89" s="8" t="n">
        <v>3728.214285714286</v>
      </c>
      <c r="H89" s="8" t="n">
        <v>64.35291256010873</v>
      </c>
      <c r="I89" s="8" t="n">
        <v>1008.993423649234</v>
      </c>
      <c r="J89" s="8" t="n">
        <v>356.0143952316015</v>
      </c>
      <c r="K89" s="8" t="n">
        <v>0</v>
      </c>
      <c r="L89" s="8" t="n">
        <v>5157.575017155229</v>
      </c>
    </row>
    <row r="90">
      <c r="A90" t="inlineStr">
        <is>
          <t>S002-딸기</t>
        </is>
      </c>
      <c r="B90" t="inlineStr">
        <is>
          <t>부산 해운대 농장</t>
        </is>
      </c>
      <c r="C90" t="inlineStr">
        <is>
          <t>딸기</t>
        </is>
      </c>
      <c r="D90" t="inlineStr">
        <is>
          <t>3월</t>
        </is>
      </c>
      <c r="E90" s="12" t="n">
        <v>7</v>
      </c>
      <c r="F90" s="13" t="n">
        <v>0.55</v>
      </c>
      <c r="G90" s="8" t="n">
        <v>3728.214285714286</v>
      </c>
      <c r="H90" s="8" t="n">
        <v>44.03094017270597</v>
      </c>
      <c r="I90" s="8" t="n">
        <v>1063.185350015641</v>
      </c>
      <c r="J90" s="8" t="n">
        <v>330.2922962165783</v>
      </c>
      <c r="K90" s="8" t="n">
        <v>0</v>
      </c>
      <c r="L90" s="8" t="n">
        <v>5165.722872119211</v>
      </c>
    </row>
    <row r="91">
      <c r="A91" t="inlineStr">
        <is>
          <t>S002-딸기</t>
        </is>
      </c>
      <c r="B91" t="inlineStr">
        <is>
          <t>부산 해운대 농장</t>
        </is>
      </c>
      <c r="C91" t="inlineStr">
        <is>
          <t>딸기</t>
        </is>
      </c>
      <c r="D91" t="inlineStr">
        <is>
          <t>4월</t>
        </is>
      </c>
      <c r="E91" s="12" t="n">
        <v>14</v>
      </c>
      <c r="F91" s="13" t="n">
        <v>0.58</v>
      </c>
      <c r="G91" s="8" t="n">
        <v>3728.214285714286</v>
      </c>
      <c r="H91" s="8" t="n">
        <v>20.32197238740276</v>
      </c>
      <c r="I91" s="8" t="n">
        <v>1126.409264109783</v>
      </c>
      <c r="J91" s="8" t="n">
        <v>307.1257733247172</v>
      </c>
      <c r="K91" s="8" t="n">
        <v>0</v>
      </c>
      <c r="L91" s="8" t="n">
        <v>5182.07129553619</v>
      </c>
    </row>
    <row r="92">
      <c r="A92" t="inlineStr">
        <is>
          <t>S002-딸기</t>
        </is>
      </c>
      <c r="B92" t="inlineStr">
        <is>
          <t>부산 해운대 농장</t>
        </is>
      </c>
      <c r="C92" t="inlineStr">
        <is>
          <t>딸기</t>
        </is>
      </c>
      <c r="D92" t="inlineStr">
        <is>
          <t>5월</t>
        </is>
      </c>
      <c r="E92" s="12" t="n">
        <v>19</v>
      </c>
      <c r="F92" s="13" t="n">
        <v>0.65</v>
      </c>
      <c r="G92" s="8" t="n">
        <v>3728.214285714286</v>
      </c>
      <c r="H92" s="8" t="n">
        <v>3.386995397900459</v>
      </c>
      <c r="I92" s="8" t="n">
        <v>1171.569202748456</v>
      </c>
      <c r="J92" s="8" t="n">
        <v>303.0657345212222</v>
      </c>
      <c r="K92" s="8" t="n">
        <v>0</v>
      </c>
      <c r="L92" s="8" t="n">
        <v>5206.236218381864</v>
      </c>
    </row>
    <row r="93">
      <c r="A93" t="inlineStr">
        <is>
          <t>S002-딸기</t>
        </is>
      </c>
      <c r="B93" t="inlineStr">
        <is>
          <t>부산 해운대 농장</t>
        </is>
      </c>
      <c r="C93" t="inlineStr">
        <is>
          <t>딸기</t>
        </is>
      </c>
      <c r="D93" t="inlineStr">
        <is>
          <t>6월</t>
        </is>
      </c>
      <c r="E93" s="12" t="n">
        <v>23</v>
      </c>
      <c r="F93" s="13" t="n">
        <v>0.72</v>
      </c>
      <c r="G93" s="8" t="n">
        <v>3728.214285714286</v>
      </c>
      <c r="H93" s="8" t="n">
        <v>0</v>
      </c>
      <c r="I93" s="8" t="n">
        <v>1221.245135250996</v>
      </c>
      <c r="J93" s="8" t="n">
        <v>300.0018739685753</v>
      </c>
      <c r="K93" s="8" t="n">
        <v>0</v>
      </c>
      <c r="L93" s="8" t="n">
        <v>5249.461294933858</v>
      </c>
    </row>
    <row r="94">
      <c r="A94" t="inlineStr">
        <is>
          <t>S002-딸기</t>
        </is>
      </c>
      <c r="B94" t="inlineStr">
        <is>
          <t>부산 해운대 농장</t>
        </is>
      </c>
      <c r="C94" t="inlineStr">
        <is>
          <t>딸기</t>
        </is>
      </c>
      <c r="D94" t="inlineStr">
        <is>
          <t>7월</t>
        </is>
      </c>
      <c r="E94" s="12" t="n">
        <v>26</v>
      </c>
      <c r="F94" s="13" t="n">
        <v>0.78</v>
      </c>
      <c r="G94" s="8" t="n">
        <v>3728.214285714286</v>
      </c>
      <c r="H94" s="8" t="n">
        <v>0</v>
      </c>
      <c r="I94" s="8" t="n">
        <v>1261.889080025802</v>
      </c>
      <c r="J94" s="8" t="n">
        <v>303.1289265784014</v>
      </c>
      <c r="K94" s="8" t="n">
        <v>0</v>
      </c>
      <c r="L94" s="8" t="n">
        <v>5293.232292318489</v>
      </c>
    </row>
    <row r="95">
      <c r="A95" t="inlineStr">
        <is>
          <t>S002-딸기</t>
        </is>
      </c>
      <c r="B95" t="inlineStr">
        <is>
          <t>부산 해운대 농장</t>
        </is>
      </c>
      <c r="C95" t="inlineStr">
        <is>
          <t>딸기</t>
        </is>
      </c>
      <c r="D95" t="inlineStr">
        <is>
          <t>8월</t>
        </is>
      </c>
      <c r="E95" s="12" t="n">
        <v>27</v>
      </c>
      <c r="F95" s="13" t="n">
        <v>0.76</v>
      </c>
      <c r="G95" s="8" t="n">
        <v>3728.214285714286</v>
      </c>
      <c r="H95" s="8" t="n">
        <v>0</v>
      </c>
      <c r="I95" s="8" t="n">
        <v>1275.437061617404</v>
      </c>
      <c r="J95" s="8" t="n">
        <v>297.8558436391396</v>
      </c>
      <c r="K95" s="8" t="n">
        <v>0</v>
      </c>
      <c r="L95" s="8" t="n">
        <v>5301.507190970829</v>
      </c>
    </row>
    <row r="96">
      <c r="A96" t="inlineStr">
        <is>
          <t>S002-딸기</t>
        </is>
      </c>
      <c r="B96" t="inlineStr">
        <is>
          <t>부산 해운대 농장</t>
        </is>
      </c>
      <c r="C96" t="inlineStr">
        <is>
          <t>딸기</t>
        </is>
      </c>
      <c r="D96" t="inlineStr">
        <is>
          <t>9월</t>
        </is>
      </c>
      <c r="E96" s="12" t="n">
        <v>22</v>
      </c>
      <c r="F96" s="13" t="n">
        <v>0.7</v>
      </c>
      <c r="G96" s="8" t="n">
        <v>3728.214285714286</v>
      </c>
      <c r="H96" s="8" t="n">
        <v>0</v>
      </c>
      <c r="I96" s="8" t="n">
        <v>1207.697153659394</v>
      </c>
      <c r="J96" s="8" t="n">
        <v>300.3659383864707</v>
      </c>
      <c r="K96" s="8" t="n">
        <v>0</v>
      </c>
      <c r="L96" s="8" t="n">
        <v>5236.277377760151</v>
      </c>
    </row>
    <row r="97">
      <c r="A97" t="inlineStr">
        <is>
          <t>S002-딸기</t>
        </is>
      </c>
      <c r="B97" t="inlineStr">
        <is>
          <t>부산 해운대 농장</t>
        </is>
      </c>
      <c r="C97" t="inlineStr">
        <is>
          <t>딸기</t>
        </is>
      </c>
      <c r="D97" t="inlineStr">
        <is>
          <t>10월</t>
        </is>
      </c>
      <c r="E97" s="12" t="n">
        <v>15</v>
      </c>
      <c r="F97" s="13" t="n">
        <v>0.62</v>
      </c>
      <c r="G97" s="8" t="n">
        <v>3728.214285714286</v>
      </c>
      <c r="H97" s="8" t="n">
        <v>16.9349769895023</v>
      </c>
      <c r="I97" s="8" t="n">
        <v>1135.441251837518</v>
      </c>
      <c r="J97" s="8" t="n">
        <v>308.1108949191931</v>
      </c>
      <c r="K97" s="8" t="n">
        <v>0</v>
      </c>
      <c r="L97" s="8" t="n">
        <v>5188.701409460499</v>
      </c>
    </row>
    <row r="98">
      <c r="A98" t="inlineStr">
        <is>
          <t>S002-딸기</t>
        </is>
      </c>
      <c r="B98" t="inlineStr">
        <is>
          <t>부산 해운대 농장</t>
        </is>
      </c>
      <c r="C98" t="inlineStr">
        <is>
          <t>딸기</t>
        </is>
      </c>
      <c r="D98" t="inlineStr">
        <is>
          <t>11월</t>
        </is>
      </c>
      <c r="E98" s="12" t="n">
        <v>7</v>
      </c>
      <c r="F98" s="13" t="n">
        <v>0.58</v>
      </c>
      <c r="G98" s="8" t="n">
        <v>3728.214285714286</v>
      </c>
      <c r="H98" s="8" t="n">
        <v>44.03094017270597</v>
      </c>
      <c r="I98" s="8" t="n">
        <v>1063.185350015641</v>
      </c>
      <c r="J98" s="8" t="n">
        <v>332.0689261170921</v>
      </c>
      <c r="K98" s="8" t="n">
        <v>0</v>
      </c>
      <c r="L98" s="8" t="n">
        <v>5167.499502019725</v>
      </c>
    </row>
    <row r="99">
      <c r="A99" t="inlineStr">
        <is>
          <t>S002-딸기</t>
        </is>
      </c>
      <c r="B99" t="inlineStr">
        <is>
          <t>부산 해운대 농장</t>
        </is>
      </c>
      <c r="C99" t="inlineStr">
        <is>
          <t>딸기</t>
        </is>
      </c>
      <c r="D99" t="inlineStr">
        <is>
          <t>12월</t>
        </is>
      </c>
      <c r="E99" s="12" t="n">
        <v>0</v>
      </c>
      <c r="F99" s="13" t="n">
        <v>0.55</v>
      </c>
      <c r="G99" s="8" t="n">
        <v>3728.214285714286</v>
      </c>
      <c r="H99" s="8" t="n">
        <v>67.73990795800918</v>
      </c>
      <c r="I99" s="8" t="n">
        <v>999.9614359214994</v>
      </c>
      <c r="J99" s="8" t="n">
        <v>362.0229167373843</v>
      </c>
      <c r="K99" s="8" t="n">
        <v>0</v>
      </c>
      <c r="L99" s="8" t="n">
        <v>5157.938546331179</v>
      </c>
    </row>
    <row r="100">
      <c r="A100" t="inlineStr">
        <is>
          <t>S002-바질</t>
        </is>
      </c>
      <c r="B100" t="inlineStr">
        <is>
          <t>부산 해운대 농장</t>
        </is>
      </c>
      <c r="C100" t="inlineStr">
        <is>
          <t>바질</t>
        </is>
      </c>
      <c r="D100" t="inlineStr">
        <is>
          <t>1월</t>
        </is>
      </c>
      <c r="E100" s="12" t="n">
        <v>-2</v>
      </c>
      <c r="F100" s="13" t="n">
        <v>0.55</v>
      </c>
      <c r="G100" s="8" t="n">
        <v>5592.321428571428</v>
      </c>
      <c r="H100" s="8" t="n">
        <v>88.06188034541194</v>
      </c>
      <c r="I100" s="8" t="n">
        <v>1536.070104793187</v>
      </c>
      <c r="J100" s="8" t="n">
        <v>925.1975911462657</v>
      </c>
      <c r="K100" s="8" t="n">
        <v>0</v>
      </c>
      <c r="L100" s="8" t="n">
        <v>8141.651004856293</v>
      </c>
    </row>
    <row r="101">
      <c r="A101" t="inlineStr">
        <is>
          <t>S002-바질</t>
        </is>
      </c>
      <c r="B101" t="inlineStr">
        <is>
          <t>부산 해운대 농장</t>
        </is>
      </c>
      <c r="C101" t="inlineStr">
        <is>
          <t>바질</t>
        </is>
      </c>
      <c r="D101" t="inlineStr">
        <is>
          <t>2월</t>
        </is>
      </c>
      <c r="E101" s="12" t="n">
        <v>1</v>
      </c>
      <c r="F101" s="13" t="n">
        <v>0.52</v>
      </c>
      <c r="G101" s="8" t="n">
        <v>5592.321428571428</v>
      </c>
      <c r="H101" s="8" t="n">
        <v>77.90089415171056</v>
      </c>
      <c r="I101" s="8" t="n">
        <v>1563.166067976391</v>
      </c>
      <c r="J101" s="8" t="n">
        <v>909.5277846719316</v>
      </c>
      <c r="K101" s="8" t="n">
        <v>0</v>
      </c>
      <c r="L101" s="8" t="n">
        <v>8142.916175371462</v>
      </c>
    </row>
    <row r="102">
      <c r="A102" t="inlineStr">
        <is>
          <t>S002-바질</t>
        </is>
      </c>
      <c r="B102" t="inlineStr">
        <is>
          <t>부산 해운대 농장</t>
        </is>
      </c>
      <c r="C102" t="inlineStr">
        <is>
          <t>바질</t>
        </is>
      </c>
      <c r="D102" t="inlineStr">
        <is>
          <t>3월</t>
        </is>
      </c>
      <c r="E102" s="12" t="n">
        <v>7</v>
      </c>
      <c r="F102" s="13" t="n">
        <v>0.55</v>
      </c>
      <c r="G102" s="8" t="n">
        <v>5592.321428571428</v>
      </c>
      <c r="H102" s="8" t="n">
        <v>57.5789217643078</v>
      </c>
      <c r="I102" s="8" t="n">
        <v>1617.357994342798</v>
      </c>
      <c r="J102" s="8" t="n">
        <v>884.2411720386801</v>
      </c>
      <c r="K102" s="8" t="n">
        <v>0</v>
      </c>
      <c r="L102" s="8" t="n">
        <v>8151.499516717214</v>
      </c>
    </row>
    <row r="103">
      <c r="A103" t="inlineStr">
        <is>
          <t>S002-바질</t>
        </is>
      </c>
      <c r="B103" t="inlineStr">
        <is>
          <t>부산 해운대 농장</t>
        </is>
      </c>
      <c r="C103" t="inlineStr">
        <is>
          <t>바질</t>
        </is>
      </c>
      <c r="D103" t="inlineStr">
        <is>
          <t>4월</t>
        </is>
      </c>
      <c r="E103" s="12" t="n">
        <v>14</v>
      </c>
      <c r="F103" s="13" t="n">
        <v>0.58</v>
      </c>
      <c r="G103" s="8" t="n">
        <v>5592.321428571428</v>
      </c>
      <c r="H103" s="8" t="n">
        <v>33.86995397900459</v>
      </c>
      <c r="I103" s="8" t="n">
        <v>1680.58190843694</v>
      </c>
      <c r="J103" s="8" t="n">
        <v>861.5827850510927</v>
      </c>
      <c r="K103" s="8" t="n">
        <v>0</v>
      </c>
      <c r="L103" s="8" t="n">
        <v>8168.356076038466</v>
      </c>
    </row>
    <row r="104">
      <c r="A104" t="inlineStr">
        <is>
          <t>S002-바질</t>
        </is>
      </c>
      <c r="B104" t="inlineStr">
        <is>
          <t>부산 해운대 농장</t>
        </is>
      </c>
      <c r="C104" t="inlineStr">
        <is>
          <t>바질</t>
        </is>
      </c>
      <c r="D104" t="inlineStr">
        <is>
          <t>5월</t>
        </is>
      </c>
      <c r="E104" s="12" t="n">
        <v>19</v>
      </c>
      <c r="F104" s="13" t="n">
        <v>0.65</v>
      </c>
      <c r="G104" s="8" t="n">
        <v>5592.321428571428</v>
      </c>
      <c r="H104" s="8" t="n">
        <v>16.9349769895023</v>
      </c>
      <c r="I104" s="8" t="n">
        <v>1725.741847075613</v>
      </c>
      <c r="J104" s="8" t="n">
        <v>857.9108506695359</v>
      </c>
      <c r="K104" s="8" t="n">
        <v>0</v>
      </c>
      <c r="L104" s="8" t="n">
        <v>8192.909103306079</v>
      </c>
    </row>
    <row r="105">
      <c r="A105" t="inlineStr">
        <is>
          <t>S002-바질</t>
        </is>
      </c>
      <c r="B105" t="inlineStr">
        <is>
          <t>부산 해운대 농장</t>
        </is>
      </c>
      <c r="C105" t="inlineStr">
        <is>
          <t>바질</t>
        </is>
      </c>
      <c r="D105" t="inlineStr">
        <is>
          <t>6월</t>
        </is>
      </c>
      <c r="E105" s="12" t="n">
        <v>23</v>
      </c>
      <c r="F105" s="13" t="n">
        <v>0.72</v>
      </c>
      <c r="G105" s="8" t="n">
        <v>5592.321428571428</v>
      </c>
      <c r="H105" s="8" t="n">
        <v>3.386995397900459</v>
      </c>
      <c r="I105" s="8" t="n">
        <v>1761.869797986551</v>
      </c>
      <c r="J105" s="8" t="n">
        <v>865.1203710286175</v>
      </c>
      <c r="K105" s="8" t="n">
        <v>0</v>
      </c>
      <c r="L105" s="8" t="n">
        <v>8222.698592984498</v>
      </c>
    </row>
    <row r="106">
      <c r="A106" t="inlineStr">
        <is>
          <t>S002-바질</t>
        </is>
      </c>
      <c r="B106" t="inlineStr">
        <is>
          <t>부산 해운대 농장</t>
        </is>
      </c>
      <c r="C106" t="inlineStr">
        <is>
          <t>바질</t>
        </is>
      </c>
      <c r="D106" t="inlineStr">
        <is>
          <t>7월</t>
        </is>
      </c>
      <c r="E106" s="12" t="n">
        <v>26</v>
      </c>
      <c r="F106" s="13" t="n">
        <v>0.78</v>
      </c>
      <c r="G106" s="8" t="n">
        <v>5592.321428571428</v>
      </c>
      <c r="H106" s="8" t="n">
        <v>0</v>
      </c>
      <c r="I106" s="8" t="n">
        <v>1797.997748897489</v>
      </c>
      <c r="J106" s="8" t="n">
        <v>871.8310296451134</v>
      </c>
      <c r="K106" s="8" t="n">
        <v>0</v>
      </c>
      <c r="L106" s="8" t="n">
        <v>8262.150207114031</v>
      </c>
    </row>
    <row r="107">
      <c r="A107" t="inlineStr">
        <is>
          <t>S002-바질</t>
        </is>
      </c>
      <c r="B107" t="inlineStr">
        <is>
          <t>부산 해운대 농장</t>
        </is>
      </c>
      <c r="C107" t="inlineStr">
        <is>
          <t>바질</t>
        </is>
      </c>
      <c r="D107" t="inlineStr">
        <is>
          <t>8월</t>
        </is>
      </c>
      <c r="E107" s="12" t="n">
        <v>27</v>
      </c>
      <c r="F107" s="13" t="n">
        <v>0.76</v>
      </c>
      <c r="G107" s="8" t="n">
        <v>5592.321428571428</v>
      </c>
      <c r="H107" s="8" t="n">
        <v>0</v>
      </c>
      <c r="I107" s="8" t="n">
        <v>1811.545730489091</v>
      </c>
      <c r="J107" s="8" t="n">
        <v>866.6281380420223</v>
      </c>
      <c r="K107" s="8" t="n">
        <v>0</v>
      </c>
      <c r="L107" s="8" t="n">
        <v>8270.495297102541</v>
      </c>
    </row>
    <row r="108">
      <c r="A108" t="inlineStr">
        <is>
          <t>S002-바질</t>
        </is>
      </c>
      <c r="B108" t="inlineStr">
        <is>
          <t>부산 해운대 농장</t>
        </is>
      </c>
      <c r="C108" t="inlineStr">
        <is>
          <t>바질</t>
        </is>
      </c>
      <c r="D108" t="inlineStr">
        <is>
          <t>9월</t>
        </is>
      </c>
      <c r="E108" s="12" t="n">
        <v>22</v>
      </c>
      <c r="F108" s="13" t="n">
        <v>0.7</v>
      </c>
      <c r="G108" s="8" t="n">
        <v>5592.321428571428</v>
      </c>
      <c r="H108" s="8" t="n">
        <v>6.773990795800918</v>
      </c>
      <c r="I108" s="8" t="n">
        <v>1752.837810258816</v>
      </c>
      <c r="J108" s="8" t="n">
        <v>862.0846564363781</v>
      </c>
      <c r="K108" s="8" t="n">
        <v>0</v>
      </c>
      <c r="L108" s="8" t="n">
        <v>8214.017886062424</v>
      </c>
    </row>
    <row r="109">
      <c r="A109" t="inlineStr">
        <is>
          <t>S002-바질</t>
        </is>
      </c>
      <c r="B109" t="inlineStr">
        <is>
          <t>부산 해운대 농장</t>
        </is>
      </c>
      <c r="C109" t="inlineStr">
        <is>
          <t>바질</t>
        </is>
      </c>
      <c r="D109" t="inlineStr">
        <is>
          <t>10월</t>
        </is>
      </c>
      <c r="E109" s="12" t="n">
        <v>15</v>
      </c>
      <c r="F109" s="13" t="n">
        <v>0.62</v>
      </c>
      <c r="G109" s="8" t="n">
        <v>5592.321428571428</v>
      </c>
      <c r="H109" s="8" t="n">
        <v>30.48295858110413</v>
      </c>
      <c r="I109" s="8" t="n">
        <v>1689.613896164674</v>
      </c>
      <c r="J109" s="8" t="n">
        <v>862.6518263057985</v>
      </c>
      <c r="K109" s="8" t="n">
        <v>0</v>
      </c>
      <c r="L109" s="8" t="n">
        <v>8175.070109623006</v>
      </c>
    </row>
    <row r="110">
      <c r="A110" t="inlineStr">
        <is>
          <t>S002-바질</t>
        </is>
      </c>
      <c r="B110" t="inlineStr">
        <is>
          <t>부산 해운대 농장</t>
        </is>
      </c>
      <c r="C110" t="inlineStr">
        <is>
          <t>바질</t>
        </is>
      </c>
      <c r="D110" t="inlineStr">
        <is>
          <t>11월</t>
        </is>
      </c>
      <c r="E110" s="12" t="n">
        <v>7</v>
      </c>
      <c r="F110" s="13" t="n">
        <v>0.58</v>
      </c>
      <c r="G110" s="8" t="n">
        <v>5592.321428571428</v>
      </c>
      <c r="H110" s="8" t="n">
        <v>57.5789217643078</v>
      </c>
      <c r="I110" s="8" t="n">
        <v>1617.357994342798</v>
      </c>
      <c r="J110" s="8" t="n">
        <v>886.0232063706701</v>
      </c>
      <c r="K110" s="8" t="n">
        <v>0</v>
      </c>
      <c r="L110" s="8" t="n">
        <v>8153.281551049204</v>
      </c>
    </row>
    <row r="111">
      <c r="A111" t="inlineStr">
        <is>
          <t>S002-바질</t>
        </is>
      </c>
      <c r="B111" t="inlineStr">
        <is>
          <t>부산 해운대 농장</t>
        </is>
      </c>
      <c r="C111" t="inlineStr">
        <is>
          <t>바질</t>
        </is>
      </c>
      <c r="D111" t="inlineStr">
        <is>
          <t>12월</t>
        </is>
      </c>
      <c r="E111" s="12" t="n">
        <v>0</v>
      </c>
      <c r="F111" s="13" t="n">
        <v>0.55</v>
      </c>
      <c r="G111" s="8" t="n">
        <v>5592.321428571428</v>
      </c>
      <c r="H111" s="8" t="n">
        <v>81.28788954961102</v>
      </c>
      <c r="I111" s="8" t="n">
        <v>1554.134080248656</v>
      </c>
      <c r="J111" s="8" t="n">
        <v>915.4672841851648</v>
      </c>
      <c r="K111" s="8" t="n">
        <v>0</v>
      </c>
      <c r="L111" s="8" t="n">
        <v>8143.21068255486</v>
      </c>
    </row>
    <row r="112">
      <c r="A112" t="inlineStr">
        <is>
          <t>S002-애플민트</t>
        </is>
      </c>
      <c r="B112" t="inlineStr">
        <is>
          <t>부산 해운대 농장</t>
        </is>
      </c>
      <c r="C112" t="inlineStr">
        <is>
          <t>애플민트</t>
        </is>
      </c>
      <c r="D112" t="inlineStr">
        <is>
          <t>1월</t>
        </is>
      </c>
      <c r="E112" s="12" t="n">
        <v>-2</v>
      </c>
      <c r="F112" s="13" t="n">
        <v>0.55</v>
      </c>
      <c r="G112" s="8" t="n">
        <v>3802.778571428572</v>
      </c>
      <c r="H112" s="8" t="n">
        <v>121.9318343244165</v>
      </c>
      <c r="I112" s="8" t="n">
        <v>1041.637435186492</v>
      </c>
      <c r="J112" s="8" t="n">
        <v>4890.069930313787</v>
      </c>
      <c r="K112" s="8" t="n">
        <v>0</v>
      </c>
      <c r="L112" s="8" t="n">
        <v>9856.417771253269</v>
      </c>
    </row>
    <row r="113">
      <c r="A113" t="inlineStr">
        <is>
          <t>S002-애플민트</t>
        </is>
      </c>
      <c r="B113" t="inlineStr">
        <is>
          <t>부산 해운대 농장</t>
        </is>
      </c>
      <c r="C113" t="inlineStr">
        <is>
          <t>애플민트</t>
        </is>
      </c>
      <c r="D113" t="inlineStr">
        <is>
          <t>2월</t>
        </is>
      </c>
      <c r="E113" s="12" t="n">
        <v>1</v>
      </c>
      <c r="F113" s="13" t="n">
        <v>0.52</v>
      </c>
      <c r="G113" s="8" t="n">
        <v>3802.778571428572</v>
      </c>
      <c r="H113" s="8" t="n">
        <v>106.6903550338644</v>
      </c>
      <c r="I113" s="8" t="n">
        <v>1061.959407573895</v>
      </c>
      <c r="J113" s="8" t="n">
        <v>4879.212706014598</v>
      </c>
      <c r="K113" s="8" t="n">
        <v>0</v>
      </c>
      <c r="L113" s="8" t="n">
        <v>9850.641040050928</v>
      </c>
    </row>
    <row r="114">
      <c r="A114" t="inlineStr">
        <is>
          <t>S002-애플민트</t>
        </is>
      </c>
      <c r="B114" t="inlineStr">
        <is>
          <t>부산 해운대 농장</t>
        </is>
      </c>
      <c r="C114" t="inlineStr">
        <is>
          <t>애플민트</t>
        </is>
      </c>
      <c r="D114" t="inlineStr">
        <is>
          <t>3월</t>
        </is>
      </c>
      <c r="E114" s="12" t="n">
        <v>7</v>
      </c>
      <c r="F114" s="13" t="n">
        <v>0.55</v>
      </c>
      <c r="G114" s="8" t="n">
        <v>3802.778571428572</v>
      </c>
      <c r="H114" s="8" t="n">
        <v>76.20739645276032</v>
      </c>
      <c r="I114" s="8" t="n">
        <v>1102.603352348701</v>
      </c>
      <c r="J114" s="8" t="n">
        <v>4863.547342678536</v>
      </c>
      <c r="K114" s="8" t="n">
        <v>0</v>
      </c>
      <c r="L114" s="8" t="n">
        <v>9845.136662908568</v>
      </c>
    </row>
    <row r="115">
      <c r="A115" t="inlineStr">
        <is>
          <t>S002-애플민트</t>
        </is>
      </c>
      <c r="B115" t="inlineStr">
        <is>
          <t>부산 해운대 농장</t>
        </is>
      </c>
      <c r="C115" t="inlineStr">
        <is>
          <t>애플민트</t>
        </is>
      </c>
      <c r="D115" t="inlineStr">
        <is>
          <t>4월</t>
        </is>
      </c>
      <c r="E115" s="12" t="n">
        <v>14</v>
      </c>
      <c r="F115" s="13" t="n">
        <v>0.58</v>
      </c>
      <c r="G115" s="8" t="n">
        <v>3802.778571428572</v>
      </c>
      <c r="H115" s="8" t="n">
        <v>40.64394477480551</v>
      </c>
      <c r="I115" s="8" t="n">
        <v>1150.021287919307</v>
      </c>
      <c r="J115" s="8" t="n">
        <v>4852.113696526033</v>
      </c>
      <c r="K115" s="8" t="n">
        <v>0</v>
      </c>
      <c r="L115" s="8" t="n">
        <v>9845.557500648716</v>
      </c>
    </row>
    <row r="116">
      <c r="A116" t="inlineStr">
        <is>
          <t>S002-애플민트</t>
        </is>
      </c>
      <c r="B116" t="inlineStr">
        <is>
          <t>부산 해운대 농장</t>
        </is>
      </c>
      <c r="C116" t="inlineStr">
        <is>
          <t>애플민트</t>
        </is>
      </c>
      <c r="D116" t="inlineStr">
        <is>
          <t>5월</t>
        </is>
      </c>
      <c r="E116" s="12" t="n">
        <v>19</v>
      </c>
      <c r="F116" s="13" t="n">
        <v>0.65</v>
      </c>
      <c r="G116" s="8" t="n">
        <v>3802.778571428572</v>
      </c>
      <c r="H116" s="8" t="n">
        <v>15.24147929055207</v>
      </c>
      <c r="I116" s="8" t="n">
        <v>1183.891241898312</v>
      </c>
      <c r="J116" s="8" t="n">
        <v>4856.441061052852</v>
      </c>
      <c r="K116" s="8" t="n">
        <v>0</v>
      </c>
      <c r="L116" s="8" t="n">
        <v>9858.352353670289</v>
      </c>
    </row>
    <row r="117">
      <c r="A117" t="inlineStr">
        <is>
          <t>S002-애플민트</t>
        </is>
      </c>
      <c r="B117" t="inlineStr">
        <is>
          <t>부산 해운대 농장</t>
        </is>
      </c>
      <c r="C117" t="inlineStr">
        <is>
          <t>애플민트</t>
        </is>
      </c>
      <c r="D117" t="inlineStr">
        <is>
          <t>6월</t>
        </is>
      </c>
      <c r="E117" s="12" t="n">
        <v>23</v>
      </c>
      <c r="F117" s="13" t="n">
        <v>0.72</v>
      </c>
      <c r="G117" s="8" t="n">
        <v>3802.778571428572</v>
      </c>
      <c r="H117" s="8" t="n">
        <v>0</v>
      </c>
      <c r="I117" s="8" t="n">
        <v>1217.761195877316</v>
      </c>
      <c r="J117" s="8" t="n">
        <v>4865.063152002654</v>
      </c>
      <c r="K117" s="8" t="n">
        <v>0</v>
      </c>
      <c r="L117" s="8" t="n">
        <v>9885.602919308541</v>
      </c>
    </row>
    <row r="118">
      <c r="A118" t="inlineStr">
        <is>
          <t>S002-애플민트</t>
        </is>
      </c>
      <c r="B118" t="inlineStr">
        <is>
          <t>부산 해운대 농장</t>
        </is>
      </c>
      <c r="C118" t="inlineStr">
        <is>
          <t>애플민트</t>
        </is>
      </c>
      <c r="D118" t="inlineStr">
        <is>
          <t>7월</t>
        </is>
      </c>
      <c r="E118" s="12" t="n">
        <v>26</v>
      </c>
      <c r="F118" s="13" t="n">
        <v>0.78</v>
      </c>
      <c r="G118" s="8" t="n">
        <v>3802.778571428572</v>
      </c>
      <c r="H118" s="8" t="n">
        <v>0</v>
      </c>
      <c r="I118" s="8" t="n">
        <v>1258.405140652121</v>
      </c>
      <c r="J118" s="8" t="n">
        <v>4868.263088521132</v>
      </c>
      <c r="K118" s="8" t="n">
        <v>0</v>
      </c>
      <c r="L118" s="8" t="n">
        <v>9929.446800601825</v>
      </c>
    </row>
    <row r="119">
      <c r="A119" t="inlineStr">
        <is>
          <t>S002-애플민트</t>
        </is>
      </c>
      <c r="B119" t="inlineStr">
        <is>
          <t>부산 해운대 농장</t>
        </is>
      </c>
      <c r="C119" t="inlineStr">
        <is>
          <t>애플민트</t>
        </is>
      </c>
      <c r="D119" t="inlineStr">
        <is>
          <t>8월</t>
        </is>
      </c>
      <c r="E119" s="12" t="n">
        <v>27</v>
      </c>
      <c r="F119" s="13" t="n">
        <v>0.76</v>
      </c>
      <c r="G119" s="8" t="n">
        <v>3802.778571428572</v>
      </c>
      <c r="H119" s="8" t="n">
        <v>0</v>
      </c>
      <c r="I119" s="8" t="n">
        <v>1271.953122243723</v>
      </c>
      <c r="J119" s="8" t="n">
        <v>4863.008919656873</v>
      </c>
      <c r="K119" s="8" t="n">
        <v>0</v>
      </c>
      <c r="L119" s="8" t="n">
        <v>9937.74061332917</v>
      </c>
    </row>
    <row r="120">
      <c r="A120" t="inlineStr">
        <is>
          <t>S002-애플민트</t>
        </is>
      </c>
      <c r="B120" t="inlineStr">
        <is>
          <t>부산 해운대 농장</t>
        </is>
      </c>
      <c r="C120" t="inlineStr">
        <is>
          <t>애플민트</t>
        </is>
      </c>
      <c r="D120" t="inlineStr">
        <is>
          <t>9월</t>
        </is>
      </c>
      <c r="E120" s="12" t="n">
        <v>22</v>
      </c>
      <c r="F120" s="13" t="n">
        <v>0.7</v>
      </c>
      <c r="G120" s="8" t="n">
        <v>3802.778571428572</v>
      </c>
      <c r="H120" s="8" t="n">
        <v>0</v>
      </c>
      <c r="I120" s="8" t="n">
        <v>1204.213214285714</v>
      </c>
      <c r="J120" s="8" t="n">
        <v>4865.403867366048</v>
      </c>
      <c r="K120" s="8" t="n">
        <v>0</v>
      </c>
      <c r="L120" s="8" t="n">
        <v>9872.395653080333</v>
      </c>
    </row>
    <row r="121">
      <c r="A121" t="inlineStr">
        <is>
          <t>S002-애플민트</t>
        </is>
      </c>
      <c r="B121" t="inlineStr">
        <is>
          <t>부산 해운대 농장</t>
        </is>
      </c>
      <c r="C121" t="inlineStr">
        <is>
          <t>애플민트</t>
        </is>
      </c>
      <c r="D121" t="inlineStr">
        <is>
          <t>10월</t>
        </is>
      </c>
      <c r="E121" s="12" t="n">
        <v>15</v>
      </c>
      <c r="F121" s="13" t="n">
        <v>0.62</v>
      </c>
      <c r="G121" s="8" t="n">
        <v>3802.778571428572</v>
      </c>
      <c r="H121" s="8" t="n">
        <v>35.56345167795482</v>
      </c>
      <c r="I121" s="8" t="n">
        <v>1156.795278715108</v>
      </c>
      <c r="J121" s="8" t="n">
        <v>4854.777996083207</v>
      </c>
      <c r="K121" s="8" t="n">
        <v>0</v>
      </c>
      <c r="L121" s="8" t="n">
        <v>9849.915297904841</v>
      </c>
    </row>
    <row r="122">
      <c r="A122" t="inlineStr">
        <is>
          <t>S002-애플민트</t>
        </is>
      </c>
      <c r="B122" t="inlineStr">
        <is>
          <t>부산 해운대 농장</t>
        </is>
      </c>
      <c r="C122" t="inlineStr">
        <is>
          <t>애플민트</t>
        </is>
      </c>
      <c r="D122" t="inlineStr">
        <is>
          <t>11월</t>
        </is>
      </c>
      <c r="E122" s="12" t="n">
        <v>7</v>
      </c>
      <c r="F122" s="13" t="n">
        <v>0.58</v>
      </c>
      <c r="G122" s="8" t="n">
        <v>3802.778571428572</v>
      </c>
      <c r="H122" s="8" t="n">
        <v>76.20739645276032</v>
      </c>
      <c r="I122" s="8" t="n">
        <v>1102.603352348701</v>
      </c>
      <c r="J122" s="8" t="n">
        <v>4865.325428881605</v>
      </c>
      <c r="K122" s="8" t="n">
        <v>0</v>
      </c>
      <c r="L122" s="8" t="n">
        <v>9846.914749111638</v>
      </c>
    </row>
    <row r="123">
      <c r="A123" t="inlineStr">
        <is>
          <t>S002-애플민트</t>
        </is>
      </c>
      <c r="B123" t="inlineStr">
        <is>
          <t>부산 해운대 농장</t>
        </is>
      </c>
      <c r="C123" t="inlineStr">
        <is>
          <t>애플민트</t>
        </is>
      </c>
      <c r="D123" t="inlineStr">
        <is>
          <t>12월</t>
        </is>
      </c>
      <c r="E123" s="12" t="n">
        <v>0</v>
      </c>
      <c r="F123" s="13" t="n">
        <v>0.55</v>
      </c>
      <c r="G123" s="8" t="n">
        <v>3802.778571428572</v>
      </c>
      <c r="H123" s="8" t="n">
        <v>111.7708481307151</v>
      </c>
      <c r="I123" s="8" t="n">
        <v>1055.185416778094</v>
      </c>
      <c r="J123" s="8" t="n">
        <v>4883.546063950615</v>
      </c>
      <c r="K123" s="8" t="n">
        <v>0</v>
      </c>
      <c r="L123" s="8" t="n">
        <v>9853.280900287995</v>
      </c>
    </row>
    <row r="124">
      <c r="A124" t="inlineStr">
        <is>
          <t>S002-쪽파</t>
        </is>
      </c>
      <c r="B124" t="inlineStr">
        <is>
          <t>부산 해운대 농장</t>
        </is>
      </c>
      <c r="C124" t="inlineStr">
        <is>
          <t>쪽파</t>
        </is>
      </c>
      <c r="D124" t="inlineStr">
        <is>
          <t>1월</t>
        </is>
      </c>
      <c r="E124" s="12" t="n">
        <v>-2</v>
      </c>
      <c r="F124" s="13" t="n">
        <v>0.55</v>
      </c>
      <c r="G124" s="8" t="n">
        <v>4473.857142857143</v>
      </c>
      <c r="H124" s="8" t="n">
        <v>74.5138987538101</v>
      </c>
      <c r="I124" s="8" t="n">
        <v>1218.017698561268</v>
      </c>
      <c r="J124" s="8" t="n">
        <v>4903.442897907195</v>
      </c>
      <c r="K124" s="8" t="n">
        <v>0</v>
      </c>
      <c r="L124" s="8" t="n">
        <v>10669.83163807942</v>
      </c>
    </row>
    <row r="125">
      <c r="A125" t="inlineStr">
        <is>
          <t>S002-쪽파</t>
        </is>
      </c>
      <c r="B125" t="inlineStr">
        <is>
          <t>부산 해운대 농장</t>
        </is>
      </c>
      <c r="C125" t="inlineStr">
        <is>
          <t>쪽파</t>
        </is>
      </c>
      <c r="D125" t="inlineStr">
        <is>
          <t>2월</t>
        </is>
      </c>
      <c r="E125" s="12" t="n">
        <v>1</v>
      </c>
      <c r="F125" s="13" t="n">
        <v>0.52</v>
      </c>
      <c r="G125" s="8" t="n">
        <v>4473.857142857143</v>
      </c>
      <c r="H125" s="8" t="n">
        <v>64.35291256010873</v>
      </c>
      <c r="I125" s="8" t="n">
        <v>1245.113661744472</v>
      </c>
      <c r="J125" s="8" t="n">
        <v>4887.475383283059</v>
      </c>
      <c r="K125" s="8" t="n">
        <v>0</v>
      </c>
      <c r="L125" s="8" t="n">
        <v>10670.79910044478</v>
      </c>
    </row>
    <row r="126">
      <c r="A126" t="inlineStr">
        <is>
          <t>S002-쪽파</t>
        </is>
      </c>
      <c r="B126" t="inlineStr">
        <is>
          <t>부산 해운대 농장</t>
        </is>
      </c>
      <c r="C126" t="inlineStr">
        <is>
          <t>쪽파</t>
        </is>
      </c>
      <c r="D126" t="inlineStr">
        <is>
          <t>3월</t>
        </is>
      </c>
      <c r="E126" s="12" t="n">
        <v>7</v>
      </c>
      <c r="F126" s="13" t="n">
        <v>0.55</v>
      </c>
      <c r="G126" s="8" t="n">
        <v>4473.857142857143</v>
      </c>
      <c r="H126" s="8" t="n">
        <v>44.03094017270597</v>
      </c>
      <c r="I126" s="8" t="n">
        <v>1299.305588110879</v>
      </c>
      <c r="J126" s="8" t="n">
        <v>4861.585935781352</v>
      </c>
      <c r="K126" s="8" t="n">
        <v>0</v>
      </c>
      <c r="L126" s="8" t="n">
        <v>10678.77960692208</v>
      </c>
    </row>
    <row r="127">
      <c r="A127" t="inlineStr">
        <is>
          <t>S002-쪽파</t>
        </is>
      </c>
      <c r="B127" t="inlineStr">
        <is>
          <t>부산 해운대 농장</t>
        </is>
      </c>
      <c r="C127" t="inlineStr">
        <is>
          <t>쪽파</t>
        </is>
      </c>
      <c r="D127" t="inlineStr">
        <is>
          <t>4월</t>
        </is>
      </c>
      <c r="E127" s="12" t="n">
        <v>14</v>
      </c>
      <c r="F127" s="13" t="n">
        <v>0.58</v>
      </c>
      <c r="G127" s="8" t="n">
        <v>4473.857142857143</v>
      </c>
      <c r="H127" s="8" t="n">
        <v>20.32197238740276</v>
      </c>
      <c r="I127" s="8" t="n">
        <v>1362.529502205021</v>
      </c>
      <c r="J127" s="8" t="n">
        <v>4838.224146681019</v>
      </c>
      <c r="K127" s="8" t="n">
        <v>0</v>
      </c>
      <c r="L127" s="8" t="n">
        <v>10694.93276413059</v>
      </c>
    </row>
    <row r="128">
      <c r="A128" t="inlineStr">
        <is>
          <t>S002-쪽파</t>
        </is>
      </c>
      <c r="B128" t="inlineStr">
        <is>
          <t>부산 해운대 농장</t>
        </is>
      </c>
      <c r="C128" t="inlineStr">
        <is>
          <t>쪽파</t>
        </is>
      </c>
      <c r="D128" t="inlineStr">
        <is>
          <t>5월</t>
        </is>
      </c>
      <c r="E128" s="12" t="n">
        <v>19</v>
      </c>
      <c r="F128" s="13" t="n">
        <v>0.65</v>
      </c>
      <c r="G128" s="8" t="n">
        <v>4473.857142857143</v>
      </c>
      <c r="H128" s="8" t="n">
        <v>3.386995397900459</v>
      </c>
      <c r="I128" s="8" t="n">
        <v>1407.689440843694</v>
      </c>
      <c r="J128" s="8" t="n">
        <v>4834.014967306418</v>
      </c>
      <c r="K128" s="8" t="n">
        <v>0</v>
      </c>
      <c r="L128" s="8" t="n">
        <v>10718.94854640515</v>
      </c>
    </row>
    <row r="129">
      <c r="A129" t="inlineStr">
        <is>
          <t>S002-쪽파</t>
        </is>
      </c>
      <c r="B129" t="inlineStr">
        <is>
          <t>부산 해운대 농장</t>
        </is>
      </c>
      <c r="C129" t="inlineStr">
        <is>
          <t>쪽파</t>
        </is>
      </c>
      <c r="D129" t="inlineStr">
        <is>
          <t>6월</t>
        </is>
      </c>
      <c r="E129" s="12" t="n">
        <v>23</v>
      </c>
      <c r="F129" s="13" t="n">
        <v>0.72</v>
      </c>
      <c r="G129" s="8" t="n">
        <v>4473.857142857143</v>
      </c>
      <c r="H129" s="8" t="n">
        <v>0</v>
      </c>
      <c r="I129" s="8" t="n">
        <v>1457.365373346234</v>
      </c>
      <c r="J129" s="8" t="n">
        <v>4830.822759952885</v>
      </c>
      <c r="K129" s="8" t="n">
        <v>0</v>
      </c>
      <c r="L129" s="8" t="n">
        <v>10762.04527615626</v>
      </c>
    </row>
    <row r="130">
      <c r="A130" t="inlineStr">
        <is>
          <t>S002-쪽파</t>
        </is>
      </c>
      <c r="B130" t="inlineStr">
        <is>
          <t>부산 해운대 농장</t>
        </is>
      </c>
      <c r="C130" t="inlineStr">
        <is>
          <t>쪽파</t>
        </is>
      </c>
      <c r="D130" t="inlineStr">
        <is>
          <t>7월</t>
        </is>
      </c>
      <c r="E130" s="12" t="n">
        <v>26</v>
      </c>
      <c r="F130" s="13" t="n">
        <v>0.78</v>
      </c>
      <c r="G130" s="8" t="n">
        <v>4473.857142857143</v>
      </c>
      <c r="H130" s="8" t="n">
        <v>0</v>
      </c>
      <c r="I130" s="8" t="n">
        <v>1498.009318121039</v>
      </c>
      <c r="J130" s="8" t="n">
        <v>4833.845873865528</v>
      </c>
      <c r="K130" s="8" t="n">
        <v>0</v>
      </c>
      <c r="L130" s="8" t="n">
        <v>10805.71233484371</v>
      </c>
    </row>
    <row r="131">
      <c r="A131" t="inlineStr">
        <is>
          <t>S002-쪽파</t>
        </is>
      </c>
      <c r="B131" t="inlineStr">
        <is>
          <t>부산 해운대 농장</t>
        </is>
      </c>
      <c r="C131" t="inlineStr">
        <is>
          <t>쪽파</t>
        </is>
      </c>
      <c r="D131" t="inlineStr">
        <is>
          <t>8월</t>
        </is>
      </c>
      <c r="E131" s="12" t="n">
        <v>27</v>
      </c>
      <c r="F131" s="13" t="n">
        <v>0.76</v>
      </c>
      <c r="G131" s="8" t="n">
        <v>4473.857142857143</v>
      </c>
      <c r="H131" s="8" t="n">
        <v>0</v>
      </c>
      <c r="I131" s="8" t="n">
        <v>1511.557299712641</v>
      </c>
      <c r="J131" s="8" t="n">
        <v>4828.545817835078</v>
      </c>
      <c r="K131" s="8" t="n">
        <v>0</v>
      </c>
      <c r="L131" s="8" t="n">
        <v>10813.96026040486</v>
      </c>
    </row>
    <row r="132">
      <c r="A132" t="inlineStr">
        <is>
          <t>S002-쪽파</t>
        </is>
      </c>
      <c r="B132" t="inlineStr">
        <is>
          <t>부산 해운대 농장</t>
        </is>
      </c>
      <c r="C132" t="inlineStr">
        <is>
          <t>쪽파</t>
        </is>
      </c>
      <c r="D132" t="inlineStr">
        <is>
          <t>9월</t>
        </is>
      </c>
      <c r="E132" s="12" t="n">
        <v>22</v>
      </c>
      <c r="F132" s="13" t="n">
        <v>0.7</v>
      </c>
      <c r="G132" s="8" t="n">
        <v>4473.857142857143</v>
      </c>
      <c r="H132" s="8" t="n">
        <v>0</v>
      </c>
      <c r="I132" s="8" t="n">
        <v>1443.817391754632</v>
      </c>
      <c r="J132" s="8" t="n">
        <v>4831.220122122645</v>
      </c>
      <c r="K132" s="8" t="n">
        <v>0</v>
      </c>
      <c r="L132" s="8" t="n">
        <v>10748.89465673442</v>
      </c>
    </row>
    <row r="133">
      <c r="A133" t="inlineStr">
        <is>
          <t>S002-쪽파</t>
        </is>
      </c>
      <c r="B133" t="inlineStr">
        <is>
          <t>부산 해운대 농장</t>
        </is>
      </c>
      <c r="C133" t="inlineStr">
        <is>
          <t>쪽파</t>
        </is>
      </c>
      <c r="D133" t="inlineStr">
        <is>
          <t>10월</t>
        </is>
      </c>
      <c r="E133" s="12" t="n">
        <v>15</v>
      </c>
      <c r="F133" s="13" t="n">
        <v>0.62</v>
      </c>
      <c r="G133" s="8" t="n">
        <v>4473.857142857143</v>
      </c>
      <c r="H133" s="8" t="n">
        <v>16.9349769895023</v>
      </c>
      <c r="I133" s="8" t="n">
        <v>1371.561489932756</v>
      </c>
      <c r="J133" s="8" t="n">
        <v>4839.177019670877</v>
      </c>
      <c r="K133" s="8" t="n">
        <v>0</v>
      </c>
      <c r="L133" s="8" t="n">
        <v>10701.53062945028</v>
      </c>
    </row>
    <row r="134">
      <c r="A134" t="inlineStr">
        <is>
          <t>S002-쪽파</t>
        </is>
      </c>
      <c r="B134" t="inlineStr">
        <is>
          <t>부산 해운대 농장</t>
        </is>
      </c>
      <c r="C134" t="inlineStr">
        <is>
          <t>쪽파</t>
        </is>
      </c>
      <c r="D134" t="inlineStr">
        <is>
          <t>11월</t>
        </is>
      </c>
      <c r="E134" s="12" t="n">
        <v>7</v>
      </c>
      <c r="F134" s="13" t="n">
        <v>0.58</v>
      </c>
      <c r="G134" s="8" t="n">
        <v>4473.857142857143</v>
      </c>
      <c r="H134" s="8" t="n">
        <v>44.03094017270597</v>
      </c>
      <c r="I134" s="8" t="n">
        <v>1299.305588110879</v>
      </c>
      <c r="J134" s="8" t="n">
        <v>4863.36048886967</v>
      </c>
      <c r="K134" s="8" t="n">
        <v>0</v>
      </c>
      <c r="L134" s="8" t="n">
        <v>10680.5541600104</v>
      </c>
    </row>
    <row r="135">
      <c r="A135" t="inlineStr">
        <is>
          <t>S002-쪽파</t>
        </is>
      </c>
      <c r="B135" t="inlineStr">
        <is>
          <t>부산 해운대 농장</t>
        </is>
      </c>
      <c r="C135" t="inlineStr">
        <is>
          <t>쪽파</t>
        </is>
      </c>
      <c r="D135" t="inlineStr">
        <is>
          <t>12월</t>
        </is>
      </c>
      <c r="E135" s="12" t="n">
        <v>0</v>
      </c>
      <c r="F135" s="13" t="n">
        <v>0.55</v>
      </c>
      <c r="G135" s="8" t="n">
        <v>4473.857142857143</v>
      </c>
      <c r="H135" s="8" t="n">
        <v>67.73990795800918</v>
      </c>
      <c r="I135" s="8" t="n">
        <v>1236.081674016737</v>
      </c>
      <c r="J135" s="8" t="n">
        <v>4893.510428525254</v>
      </c>
      <c r="K135" s="8" t="n">
        <v>0</v>
      </c>
      <c r="L135" s="8" t="n">
        <v>10671.18915335714</v>
      </c>
    </row>
    <row r="136">
      <c r="A136" t="inlineStr">
        <is>
          <t>S002-병풀</t>
        </is>
      </c>
      <c r="B136" t="inlineStr">
        <is>
          <t>부산 해운대 농장</t>
        </is>
      </c>
      <c r="C136" t="inlineStr">
        <is>
          <t>병풀</t>
        </is>
      </c>
      <c r="D136" t="inlineStr">
        <is>
          <t>1월</t>
        </is>
      </c>
      <c r="E136" s="12" t="n">
        <v>-2</v>
      </c>
      <c r="F136" s="13" t="n">
        <v>0.55</v>
      </c>
      <c r="G136" s="8" t="n">
        <v>3355.392857142856</v>
      </c>
      <c r="H136" s="8" t="n">
        <v>132.0928205181179</v>
      </c>
      <c r="I136" s="8" t="n">
        <v>886.4173107377474</v>
      </c>
      <c r="J136" s="8" t="n">
        <v>5129.97470051452</v>
      </c>
      <c r="K136" s="8" t="n">
        <v>0</v>
      </c>
      <c r="L136" s="8" t="n">
        <v>9503.877688913242</v>
      </c>
    </row>
    <row r="137">
      <c r="A137" t="inlineStr">
        <is>
          <t>S002-병풀</t>
        </is>
      </c>
      <c r="B137" t="inlineStr">
        <is>
          <t>부산 해운대 농장</t>
        </is>
      </c>
      <c r="C137" t="inlineStr">
        <is>
          <t>병풀</t>
        </is>
      </c>
      <c r="D137" t="inlineStr">
        <is>
          <t>2월</t>
        </is>
      </c>
      <c r="E137" s="12" t="n">
        <v>1</v>
      </c>
      <c r="F137" s="13" t="n">
        <v>0.52</v>
      </c>
      <c r="G137" s="8" t="n">
        <v>3355.392857142856</v>
      </c>
      <c r="H137" s="8" t="n">
        <v>116.8513412275658</v>
      </c>
      <c r="I137" s="8" t="n">
        <v>906.7392831251502</v>
      </c>
      <c r="J137" s="8" t="n">
        <v>5119.168504160653</v>
      </c>
      <c r="K137" s="8" t="n">
        <v>0</v>
      </c>
      <c r="L137" s="8" t="n">
        <v>9498.151985656226</v>
      </c>
    </row>
    <row r="138">
      <c r="A138" t="inlineStr">
        <is>
          <t>S002-병풀</t>
        </is>
      </c>
      <c r="B138" t="inlineStr">
        <is>
          <t>부산 해운대 농장</t>
        </is>
      </c>
      <c r="C138" t="inlineStr">
        <is>
          <t>병풀</t>
        </is>
      </c>
      <c r="D138" t="inlineStr">
        <is>
          <t>3월</t>
        </is>
      </c>
      <c r="E138" s="12" t="n">
        <v>7</v>
      </c>
      <c r="F138" s="13" t="n">
        <v>0.55</v>
      </c>
      <c r="G138" s="8" t="n">
        <v>3355.392857142856</v>
      </c>
      <c r="H138" s="8" t="n">
        <v>86.3683826464617</v>
      </c>
      <c r="I138" s="8" t="n">
        <v>947.3832278999556</v>
      </c>
      <c r="J138" s="8" t="n">
        <v>5103.606468277088</v>
      </c>
      <c r="K138" s="8" t="n">
        <v>0</v>
      </c>
      <c r="L138" s="8" t="n">
        <v>9492.750935966362</v>
      </c>
    </row>
    <row r="139">
      <c r="A139" t="inlineStr">
        <is>
          <t>S002-병풀</t>
        </is>
      </c>
      <c r="B139" t="inlineStr">
        <is>
          <t>부산 해운대 농장</t>
        </is>
      </c>
      <c r="C139" t="inlineStr">
        <is>
          <t>병풀</t>
        </is>
      </c>
      <c r="D139" t="inlineStr">
        <is>
          <t>4월</t>
        </is>
      </c>
      <c r="E139" s="12" t="n">
        <v>14</v>
      </c>
      <c r="F139" s="13" t="n">
        <v>0.58</v>
      </c>
      <c r="G139" s="8" t="n">
        <v>3355.392857142856</v>
      </c>
      <c r="H139" s="8" t="n">
        <v>50.80493096850688</v>
      </c>
      <c r="I139" s="8" t="n">
        <v>994.8011634705621</v>
      </c>
      <c r="J139" s="8" t="n">
        <v>5092.293387062339</v>
      </c>
      <c r="K139" s="8" t="n">
        <v>0</v>
      </c>
      <c r="L139" s="8" t="n">
        <v>9493.292338644264</v>
      </c>
    </row>
    <row r="140">
      <c r="A140" t="inlineStr">
        <is>
          <t>S002-병풀</t>
        </is>
      </c>
      <c r="B140" t="inlineStr">
        <is>
          <t>부산 해운대 농장</t>
        </is>
      </c>
      <c r="C140" t="inlineStr">
        <is>
          <t>병풀</t>
        </is>
      </c>
      <c r="D140" t="inlineStr">
        <is>
          <t>5월</t>
        </is>
      </c>
      <c r="E140" s="12" t="n">
        <v>19</v>
      </c>
      <c r="F140" s="13" t="n">
        <v>0.65</v>
      </c>
      <c r="G140" s="8" t="n">
        <v>3355.392857142856</v>
      </c>
      <c r="H140" s="8" t="n">
        <v>25.40246548425344</v>
      </c>
      <c r="I140" s="8" t="n">
        <v>1028.671117449567</v>
      </c>
      <c r="J140" s="8" t="n">
        <v>5096.71283676771</v>
      </c>
      <c r="K140" s="8" t="n">
        <v>0</v>
      </c>
      <c r="L140" s="8" t="n">
        <v>9506.179276844385</v>
      </c>
    </row>
    <row r="141">
      <c r="A141" t="inlineStr">
        <is>
          <t>S002-병풀</t>
        </is>
      </c>
      <c r="B141" t="inlineStr">
        <is>
          <t>부산 해운대 농장</t>
        </is>
      </c>
      <c r="C141" t="inlineStr">
        <is>
          <t>병풀</t>
        </is>
      </c>
      <c r="D141" t="inlineStr">
        <is>
          <t>6월</t>
        </is>
      </c>
      <c r="E141" s="12" t="n">
        <v>23</v>
      </c>
      <c r="F141" s="13" t="n">
        <v>0.72</v>
      </c>
      <c r="G141" s="8" t="n">
        <v>3355.392857142856</v>
      </c>
      <c r="H141" s="8" t="n">
        <v>5.080493096850689</v>
      </c>
      <c r="I141" s="8" t="n">
        <v>1055.76708063277</v>
      </c>
      <c r="J141" s="8" t="n">
        <v>5110.383867789225</v>
      </c>
      <c r="K141" s="8" t="n">
        <v>0</v>
      </c>
      <c r="L141" s="8" t="n">
        <v>9526.624298661704</v>
      </c>
    </row>
    <row r="142">
      <c r="A142" t="inlineStr">
        <is>
          <t>S002-병풀</t>
        </is>
      </c>
      <c r="B142" t="inlineStr">
        <is>
          <t>부산 해운대 농장</t>
        </is>
      </c>
      <c r="C142" t="inlineStr">
        <is>
          <t>병풀</t>
        </is>
      </c>
      <c r="D142" t="inlineStr">
        <is>
          <t>7월</t>
        </is>
      </c>
      <c r="E142" s="12" t="n">
        <v>26</v>
      </c>
      <c r="F142" s="13" t="n">
        <v>0.78</v>
      </c>
      <c r="G142" s="8" t="n">
        <v>3355.392857142856</v>
      </c>
      <c r="H142" s="8" t="n">
        <v>0</v>
      </c>
      <c r="I142" s="8" t="n">
        <v>1089.637034611775</v>
      </c>
      <c r="J142" s="8" t="n">
        <v>5118.617673868619</v>
      </c>
      <c r="K142" s="8" t="n">
        <v>0</v>
      </c>
      <c r="L142" s="8" t="n">
        <v>9563.647565623251</v>
      </c>
    </row>
    <row r="143">
      <c r="A143" t="inlineStr">
        <is>
          <t>S002-병풀</t>
        </is>
      </c>
      <c r="B143" t="inlineStr">
        <is>
          <t>부산 해운대 농장</t>
        </is>
      </c>
      <c r="C143" t="inlineStr">
        <is>
          <t>병풀</t>
        </is>
      </c>
      <c r="D143" t="inlineStr">
        <is>
          <t>8월</t>
        </is>
      </c>
      <c r="E143" s="12" t="n">
        <v>27</v>
      </c>
      <c r="F143" s="13" t="n">
        <v>0.76</v>
      </c>
      <c r="G143" s="8" t="n">
        <v>3355.392857142856</v>
      </c>
      <c r="H143" s="8" t="n">
        <v>0</v>
      </c>
      <c r="I143" s="8" t="n">
        <v>1103.185016203377</v>
      </c>
      <c r="J143" s="8" t="n">
        <v>5113.38015923801</v>
      </c>
      <c r="K143" s="8" t="n">
        <v>0</v>
      </c>
      <c r="L143" s="8" t="n">
        <v>9571.958032584243</v>
      </c>
    </row>
    <row r="144">
      <c r="A144" t="inlineStr">
        <is>
          <t>S002-병풀</t>
        </is>
      </c>
      <c r="B144" t="inlineStr">
        <is>
          <t>부산 해운대 농장</t>
        </is>
      </c>
      <c r="C144" t="inlineStr">
        <is>
          <t>병풀</t>
        </is>
      </c>
      <c r="D144" t="inlineStr">
        <is>
          <t>9월</t>
        </is>
      </c>
      <c r="E144" s="12" t="n">
        <v>22</v>
      </c>
      <c r="F144" s="13" t="n">
        <v>0.7</v>
      </c>
      <c r="G144" s="8" t="n">
        <v>3355.392857142856</v>
      </c>
      <c r="H144" s="8" t="n">
        <v>10.16098619370138</v>
      </c>
      <c r="I144" s="8" t="n">
        <v>1048.99308983697</v>
      </c>
      <c r="J144" s="8" t="n">
        <v>5105.734330053774</v>
      </c>
      <c r="K144" s="8" t="n">
        <v>0</v>
      </c>
      <c r="L144" s="8" t="n">
        <v>9520.281263227302</v>
      </c>
    </row>
    <row r="145">
      <c r="A145" t="inlineStr">
        <is>
          <t>S002-병풀</t>
        </is>
      </c>
      <c r="B145" t="inlineStr">
        <is>
          <t>부산 해운대 농장</t>
        </is>
      </c>
      <c r="C145" t="inlineStr">
        <is>
          <t>병풀</t>
        </is>
      </c>
      <c r="D145" t="inlineStr">
        <is>
          <t>10월</t>
        </is>
      </c>
      <c r="E145" s="12" t="n">
        <v>15</v>
      </c>
      <c r="F145" s="13" t="n">
        <v>0.62</v>
      </c>
      <c r="G145" s="8" t="n">
        <v>3355.392857142856</v>
      </c>
      <c r="H145" s="8" t="n">
        <v>45.72443787165619</v>
      </c>
      <c r="I145" s="8" t="n">
        <v>1001.575154266363</v>
      </c>
      <c r="J145" s="8" t="n">
        <v>5094.977598159963</v>
      </c>
      <c r="K145" s="8" t="n">
        <v>0</v>
      </c>
      <c r="L145" s="8" t="n">
        <v>9497.670047440839</v>
      </c>
    </row>
    <row r="146">
      <c r="A146" t="inlineStr">
        <is>
          <t>S002-병풀</t>
        </is>
      </c>
      <c r="B146" t="inlineStr">
        <is>
          <t>부산 해운대 농장</t>
        </is>
      </c>
      <c r="C146" t="inlineStr">
        <is>
          <t>병풀</t>
        </is>
      </c>
      <c r="D146" t="inlineStr">
        <is>
          <t>11월</t>
        </is>
      </c>
      <c r="E146" s="12" t="n">
        <v>7</v>
      </c>
      <c r="F146" s="13" t="n">
        <v>0.58</v>
      </c>
      <c r="G146" s="8" t="n">
        <v>3355.392857142856</v>
      </c>
      <c r="H146" s="8" t="n">
        <v>86.3683826464617</v>
      </c>
      <c r="I146" s="8" t="n">
        <v>947.3832278999556</v>
      </c>
      <c r="J146" s="8" t="n">
        <v>5105.385836784634</v>
      </c>
      <c r="K146" s="8" t="n">
        <v>0</v>
      </c>
      <c r="L146" s="8" t="n">
        <v>9494.530304473908</v>
      </c>
    </row>
    <row r="147">
      <c r="A147" t="inlineStr">
        <is>
          <t>S002-병풀</t>
        </is>
      </c>
      <c r="B147" t="inlineStr">
        <is>
          <t>부산 해운대 농장</t>
        </is>
      </c>
      <c r="C147" t="inlineStr">
        <is>
          <t>병풀</t>
        </is>
      </c>
      <c r="D147" t="inlineStr">
        <is>
          <t>12월</t>
        </is>
      </c>
      <c r="E147" s="12" t="n">
        <v>0</v>
      </c>
      <c r="F147" s="13" t="n">
        <v>0.55</v>
      </c>
      <c r="G147" s="8" t="n">
        <v>3355.392857142856</v>
      </c>
      <c r="H147" s="8" t="n">
        <v>121.9318343244165</v>
      </c>
      <c r="I147" s="8" t="n">
        <v>899.9652923293493</v>
      </c>
      <c r="J147" s="8" t="n">
        <v>5123.485485312103</v>
      </c>
      <c r="K147" s="8" t="n">
        <v>0</v>
      </c>
      <c r="L147" s="8" t="n">
        <v>9500.775469108725</v>
      </c>
    </row>
    <row r="148">
      <c r="A148" t="inlineStr">
        <is>
          <t>S003-상추</t>
        </is>
      </c>
      <c r="B148" t="inlineStr">
        <is>
          <t>부산 사하구 농장</t>
        </is>
      </c>
      <c r="C148" t="inlineStr">
        <is>
          <t>상추</t>
        </is>
      </c>
      <c r="D148" t="inlineStr">
        <is>
          <t>1월</t>
        </is>
      </c>
      <c r="E148" s="12" t="n">
        <v>-2</v>
      </c>
      <c r="F148" s="13" t="n">
        <v>0.55</v>
      </c>
      <c r="G148" s="8" t="n">
        <v>27453.21428571429</v>
      </c>
      <c r="H148" s="8" t="n">
        <v>213.8466476953125</v>
      </c>
      <c r="I148" s="8" t="n">
        <v>8218.303084486606</v>
      </c>
      <c r="J148" s="8" t="n">
        <v>34564.33386597754</v>
      </c>
      <c r="K148" s="8" t="n">
        <v>0</v>
      </c>
      <c r="L148" s="8" t="n">
        <v>70449.69788387374</v>
      </c>
    </row>
    <row r="149">
      <c r="A149" t="inlineStr">
        <is>
          <t>S003-상추</t>
        </is>
      </c>
      <c r="B149" t="inlineStr">
        <is>
          <t>부산 사하구 농장</t>
        </is>
      </c>
      <c r="C149" t="inlineStr">
        <is>
          <t>상추</t>
        </is>
      </c>
      <c r="D149" t="inlineStr">
        <is>
          <t>2월</t>
        </is>
      </c>
      <c r="E149" s="12" t="n">
        <v>1</v>
      </c>
      <c r="F149" s="13" t="n">
        <v>0.52</v>
      </c>
      <c r="G149" s="8" t="n">
        <v>27453.21428571429</v>
      </c>
      <c r="H149" s="8" t="n">
        <v>184.6857411914063</v>
      </c>
      <c r="I149" s="8" t="n">
        <v>8283.105098939732</v>
      </c>
      <c r="J149" s="8" t="n">
        <v>34536.39873724617</v>
      </c>
      <c r="K149" s="8" t="n">
        <v>0</v>
      </c>
      <c r="L149" s="8" t="n">
        <v>70457.4038630916</v>
      </c>
    </row>
    <row r="150">
      <c r="A150" t="inlineStr">
        <is>
          <t>S003-상추</t>
        </is>
      </c>
      <c r="B150" t="inlineStr">
        <is>
          <t>부산 사하구 농장</t>
        </is>
      </c>
      <c r="C150" t="inlineStr">
        <is>
          <t>상추</t>
        </is>
      </c>
      <c r="D150" t="inlineStr">
        <is>
          <t>3월</t>
        </is>
      </c>
      <c r="E150" s="12" t="n">
        <v>7</v>
      </c>
      <c r="F150" s="13" t="n">
        <v>0.55</v>
      </c>
      <c r="G150" s="8" t="n">
        <v>27453.21428571429</v>
      </c>
      <c r="H150" s="8" t="n">
        <v>126.3639281835937</v>
      </c>
      <c r="I150" s="8" t="n">
        <v>8412.709127845981</v>
      </c>
      <c r="J150" s="8" t="n">
        <v>34510.21690002383</v>
      </c>
      <c r="K150" s="8" t="n">
        <v>0</v>
      </c>
      <c r="L150" s="8" t="n">
        <v>70502.50424176769</v>
      </c>
    </row>
    <row r="151">
      <c r="A151" t="inlineStr">
        <is>
          <t>S003-상추</t>
        </is>
      </c>
      <c r="B151" t="inlineStr">
        <is>
          <t>부산 사하구 농장</t>
        </is>
      </c>
      <c r="C151" t="inlineStr">
        <is>
          <t>상추</t>
        </is>
      </c>
      <c r="D151" t="inlineStr">
        <is>
          <t>4월</t>
        </is>
      </c>
      <c r="E151" s="12" t="n">
        <v>14</v>
      </c>
      <c r="F151" s="13" t="n">
        <v>0.58</v>
      </c>
      <c r="G151" s="8" t="n">
        <v>27453.21428571429</v>
      </c>
      <c r="H151" s="8" t="n">
        <v>58.3218130078125</v>
      </c>
      <c r="I151" s="8" t="n">
        <v>8563.913828236606</v>
      </c>
      <c r="J151" s="8" t="n">
        <v>34513.26233251768</v>
      </c>
      <c r="K151" s="8" t="n">
        <v>0</v>
      </c>
      <c r="L151" s="8" t="n">
        <v>70588.71225947639</v>
      </c>
    </row>
    <row r="152">
      <c r="A152" t="inlineStr">
        <is>
          <t>S003-상추</t>
        </is>
      </c>
      <c r="B152" t="inlineStr">
        <is>
          <t>부산 사하구 농장</t>
        </is>
      </c>
      <c r="C152" t="inlineStr">
        <is>
          <t>상추</t>
        </is>
      </c>
      <c r="D152" t="inlineStr">
        <is>
          <t>5월</t>
        </is>
      </c>
      <c r="E152" s="12" t="n">
        <v>19</v>
      </c>
      <c r="F152" s="13" t="n">
        <v>0.65</v>
      </c>
      <c r="G152" s="8" t="n">
        <v>27453.21428571429</v>
      </c>
      <c r="H152" s="8" t="n">
        <v>9.72030216796875</v>
      </c>
      <c r="I152" s="8" t="n">
        <v>8671.917185658482</v>
      </c>
      <c r="J152" s="8" t="n">
        <v>34576.73980394941</v>
      </c>
      <c r="K152" s="8" t="n">
        <v>0</v>
      </c>
      <c r="L152" s="8" t="n">
        <v>70711.59157749015</v>
      </c>
    </row>
    <row r="153">
      <c r="A153" t="inlineStr">
        <is>
          <t>S003-상추</t>
        </is>
      </c>
      <c r="B153" t="inlineStr">
        <is>
          <t>부산 사하구 농장</t>
        </is>
      </c>
      <c r="C153" t="inlineStr">
        <is>
          <t>상추</t>
        </is>
      </c>
      <c r="D153" t="inlineStr">
        <is>
          <t>6월</t>
        </is>
      </c>
      <c r="E153" s="12" t="n">
        <v>23</v>
      </c>
      <c r="F153" s="13" t="n">
        <v>0.72</v>
      </c>
      <c r="G153" s="8" t="n">
        <v>27453.21428571429</v>
      </c>
      <c r="H153" s="8" t="n">
        <v>0</v>
      </c>
      <c r="I153" s="8" t="n">
        <v>8797.201080267856</v>
      </c>
      <c r="J153" s="8" t="n">
        <v>34648.69430492716</v>
      </c>
      <c r="K153" s="8" t="n">
        <v>0</v>
      </c>
      <c r="L153" s="8" t="n">
        <v>70899.1096709093</v>
      </c>
    </row>
    <row r="154">
      <c r="A154" t="inlineStr">
        <is>
          <t>S003-상추</t>
        </is>
      </c>
      <c r="B154" t="inlineStr">
        <is>
          <t>부산 사하구 농장</t>
        </is>
      </c>
      <c r="C154" t="inlineStr">
        <is>
          <t>상추</t>
        </is>
      </c>
      <c r="D154" t="inlineStr">
        <is>
          <t>7월</t>
        </is>
      </c>
      <c r="E154" s="12" t="n">
        <v>26</v>
      </c>
      <c r="F154" s="13" t="n">
        <v>0.78</v>
      </c>
      <c r="G154" s="8" t="n">
        <v>27453.21428571429</v>
      </c>
      <c r="H154" s="8" t="n">
        <v>0</v>
      </c>
      <c r="I154" s="8" t="n">
        <v>8900.884303392857</v>
      </c>
      <c r="J154" s="8" t="n">
        <v>34734.35884722727</v>
      </c>
      <c r="K154" s="8" t="n">
        <v>0</v>
      </c>
      <c r="L154" s="8" t="n">
        <v>71088.45743633441</v>
      </c>
    </row>
    <row r="155">
      <c r="A155" t="inlineStr">
        <is>
          <t>S003-상추</t>
        </is>
      </c>
      <c r="B155" t="inlineStr">
        <is>
          <t>부산 사하구 농장</t>
        </is>
      </c>
      <c r="C155" t="inlineStr">
        <is>
          <t>상추</t>
        </is>
      </c>
      <c r="D155" t="inlineStr">
        <is>
          <t>8월</t>
        </is>
      </c>
      <c r="E155" s="12" t="n">
        <v>27</v>
      </c>
      <c r="F155" s="13" t="n">
        <v>0.76</v>
      </c>
      <c r="G155" s="8" t="n">
        <v>27453.21428571429</v>
      </c>
      <c r="H155" s="8" t="n">
        <v>0</v>
      </c>
      <c r="I155" s="8" t="n">
        <v>8935.445377767855</v>
      </c>
      <c r="J155" s="8" t="n">
        <v>34731.9106559609</v>
      </c>
      <c r="K155" s="8" t="n">
        <v>0</v>
      </c>
      <c r="L155" s="8" t="n">
        <v>71120.57031944304</v>
      </c>
    </row>
    <row r="156">
      <c r="A156" t="inlineStr">
        <is>
          <t>S003-상추</t>
        </is>
      </c>
      <c r="B156" t="inlineStr">
        <is>
          <t>부산 사하구 농장</t>
        </is>
      </c>
      <c r="C156" t="inlineStr">
        <is>
          <t>상추</t>
        </is>
      </c>
      <c r="D156" t="inlineStr">
        <is>
          <t>9월</t>
        </is>
      </c>
      <c r="E156" s="12" t="n">
        <v>22</v>
      </c>
      <c r="F156" s="13" t="n">
        <v>0.7</v>
      </c>
      <c r="G156" s="8" t="n">
        <v>27453.21428571429</v>
      </c>
      <c r="H156" s="8" t="n">
        <v>0</v>
      </c>
      <c r="I156" s="8" t="n">
        <v>8762.640005892858</v>
      </c>
      <c r="J156" s="8" t="n">
        <v>34627.04367799772</v>
      </c>
      <c r="K156" s="8" t="n">
        <v>0</v>
      </c>
      <c r="L156" s="8" t="n">
        <v>70842.89796960486</v>
      </c>
    </row>
    <row r="157">
      <c r="A157" t="inlineStr">
        <is>
          <t>S003-상추</t>
        </is>
      </c>
      <c r="B157" t="inlineStr">
        <is>
          <t>부산 사하구 농장</t>
        </is>
      </c>
      <c r="C157" t="inlineStr">
        <is>
          <t>상추</t>
        </is>
      </c>
      <c r="D157" t="inlineStr">
        <is>
          <t>10월</t>
        </is>
      </c>
      <c r="E157" s="12" t="n">
        <v>15</v>
      </c>
      <c r="F157" s="13" t="n">
        <v>0.62</v>
      </c>
      <c r="G157" s="8" t="n">
        <v>27453.21428571429</v>
      </c>
      <c r="H157" s="8" t="n">
        <v>48.60151083984375</v>
      </c>
      <c r="I157" s="8" t="n">
        <v>8585.514499720981</v>
      </c>
      <c r="J157" s="8" t="n">
        <v>34534.78009818398</v>
      </c>
      <c r="K157" s="8" t="n">
        <v>0</v>
      </c>
      <c r="L157" s="8" t="n">
        <v>70622.1103944591</v>
      </c>
    </row>
    <row r="158">
      <c r="A158" t="inlineStr">
        <is>
          <t>S003-상추</t>
        </is>
      </c>
      <c r="B158" t="inlineStr">
        <is>
          <t>부산 사하구 농장</t>
        </is>
      </c>
      <c r="C158" t="inlineStr">
        <is>
          <t>상추</t>
        </is>
      </c>
      <c r="D158" t="inlineStr">
        <is>
          <t>11월</t>
        </is>
      </c>
      <c r="E158" s="12" t="n">
        <v>7</v>
      </c>
      <c r="F158" s="13" t="n">
        <v>0.58</v>
      </c>
      <c r="G158" s="8" t="n">
        <v>27453.21428571429</v>
      </c>
      <c r="H158" s="8" t="n">
        <v>126.3639281835937</v>
      </c>
      <c r="I158" s="8" t="n">
        <v>8412.709127845981</v>
      </c>
      <c r="J158" s="8" t="n">
        <v>34518.93853771726</v>
      </c>
      <c r="K158" s="8" t="n">
        <v>0</v>
      </c>
      <c r="L158" s="8" t="n">
        <v>70511.22587946113</v>
      </c>
    </row>
    <row r="159">
      <c r="A159" t="inlineStr">
        <is>
          <t>S003-상추</t>
        </is>
      </c>
      <c r="B159" t="inlineStr">
        <is>
          <t>부산 사하구 농장</t>
        </is>
      </c>
      <c r="C159" t="inlineStr">
        <is>
          <t>상추</t>
        </is>
      </c>
      <c r="D159" t="inlineStr">
        <is>
          <t>12월</t>
        </is>
      </c>
      <c r="E159" s="12" t="n">
        <v>0</v>
      </c>
      <c r="F159" s="13" t="n">
        <v>0.55</v>
      </c>
      <c r="G159" s="8" t="n">
        <v>27453.21428571429</v>
      </c>
      <c r="H159" s="8" t="n">
        <v>194.406043359375</v>
      </c>
      <c r="I159" s="8" t="n">
        <v>8261.504427455357</v>
      </c>
      <c r="J159" s="8" t="n">
        <v>34549.21340134479</v>
      </c>
      <c r="K159" s="8" t="n">
        <v>0</v>
      </c>
      <c r="L159" s="8" t="n">
        <v>70458.3381578738</v>
      </c>
    </row>
    <row r="160">
      <c r="A160" t="inlineStr">
        <is>
          <t>S003-딸기</t>
        </is>
      </c>
      <c r="B160" t="inlineStr">
        <is>
          <t>부산 사하구 농장</t>
        </is>
      </c>
      <c r="C160" t="inlineStr">
        <is>
          <t>딸기</t>
        </is>
      </c>
      <c r="D160" t="inlineStr">
        <is>
          <t>1월</t>
        </is>
      </c>
      <c r="E160" s="12" t="n">
        <v>-2</v>
      </c>
      <c r="F160" s="13" t="n">
        <v>0.55</v>
      </c>
      <c r="G160" s="8" t="n">
        <v>18302.14285714286</v>
      </c>
      <c r="H160" s="8" t="n">
        <v>190.0859090625</v>
      </c>
      <c r="I160" s="8" t="n">
        <v>5288.782813928572</v>
      </c>
      <c r="J160" s="8" t="n">
        <v>1481.932136088924</v>
      </c>
      <c r="K160" s="8" t="n">
        <v>0</v>
      </c>
      <c r="L160" s="8" t="n">
        <v>25262.94371622286</v>
      </c>
    </row>
    <row r="161">
      <c r="A161" t="inlineStr">
        <is>
          <t>S003-딸기</t>
        </is>
      </c>
      <c r="B161" t="inlineStr">
        <is>
          <t>부산 사하구 농장</t>
        </is>
      </c>
      <c r="C161" t="inlineStr">
        <is>
          <t>딸기</t>
        </is>
      </c>
      <c r="D161" t="inlineStr">
        <is>
          <t>2월</t>
        </is>
      </c>
      <c r="E161" s="12" t="n">
        <v>1</v>
      </c>
      <c r="F161" s="13" t="n">
        <v>0.52</v>
      </c>
      <c r="G161" s="8" t="n">
        <v>18302.14285714286</v>
      </c>
      <c r="H161" s="8" t="n">
        <v>164.16510328125</v>
      </c>
      <c r="I161" s="8" t="n">
        <v>5357.904962678572</v>
      </c>
      <c r="J161" s="8" t="n">
        <v>1450.827569257354</v>
      </c>
      <c r="K161" s="8" t="n">
        <v>0</v>
      </c>
      <c r="L161" s="8" t="n">
        <v>25275.04049236004</v>
      </c>
    </row>
    <row r="162">
      <c r="A162" t="inlineStr">
        <is>
          <t>S003-딸기</t>
        </is>
      </c>
      <c r="B162" t="inlineStr">
        <is>
          <t>부산 사하구 농장</t>
        </is>
      </c>
      <c r="C162" t="inlineStr">
        <is>
          <t>딸기</t>
        </is>
      </c>
      <c r="D162" t="inlineStr">
        <is>
          <t>3월</t>
        </is>
      </c>
      <c r="E162" s="12" t="n">
        <v>7</v>
      </c>
      <c r="F162" s="13" t="n">
        <v>0.55</v>
      </c>
      <c r="G162" s="8" t="n">
        <v>18302.14285714286</v>
      </c>
      <c r="H162" s="8" t="n">
        <v>112.32349171875</v>
      </c>
      <c r="I162" s="8" t="n">
        <v>5496.149260178572</v>
      </c>
      <c r="J162" s="8" t="n">
        <v>1418.306855834577</v>
      </c>
      <c r="K162" s="8" t="n">
        <v>0</v>
      </c>
      <c r="L162" s="8" t="n">
        <v>25328.92246487476</v>
      </c>
    </row>
    <row r="163">
      <c r="A163" t="inlineStr">
        <is>
          <t>S003-딸기</t>
        </is>
      </c>
      <c r="B163" t="inlineStr">
        <is>
          <t>부산 사하구 농장</t>
        </is>
      </c>
      <c r="C163" t="inlineStr">
        <is>
          <t>딸기</t>
        </is>
      </c>
      <c r="D163" t="inlineStr">
        <is>
          <t>4월</t>
        </is>
      </c>
      <c r="E163" s="12" t="n">
        <v>14</v>
      </c>
      <c r="F163" s="13" t="n">
        <v>0.58</v>
      </c>
      <c r="G163" s="8" t="n">
        <v>18302.14285714286</v>
      </c>
      <c r="H163" s="8" t="n">
        <v>51.8416115625</v>
      </c>
      <c r="I163" s="8" t="n">
        <v>5657.434273928573</v>
      </c>
      <c r="J163" s="8" t="n">
        <v>1413.956932761273</v>
      </c>
      <c r="K163" s="8" t="n">
        <v>0</v>
      </c>
      <c r="L163" s="8" t="n">
        <v>25425.37567539521</v>
      </c>
    </row>
    <row r="164">
      <c r="A164" t="inlineStr">
        <is>
          <t>S003-딸기</t>
        </is>
      </c>
      <c r="B164" t="inlineStr">
        <is>
          <t>부산 사하구 농장</t>
        </is>
      </c>
      <c r="C164" t="inlineStr">
        <is>
          <t>딸기</t>
        </is>
      </c>
      <c r="D164" t="inlineStr">
        <is>
          <t>5월</t>
        </is>
      </c>
      <c r="E164" s="12" t="n">
        <v>19</v>
      </c>
      <c r="F164" s="13" t="n">
        <v>0.65</v>
      </c>
      <c r="G164" s="8" t="n">
        <v>18302.14285714286</v>
      </c>
      <c r="H164" s="8" t="n">
        <v>8.640268593750001</v>
      </c>
      <c r="I164" s="8" t="n">
        <v>5772.637855178572</v>
      </c>
      <c r="J164" s="8" t="n">
        <v>1472.152007359324</v>
      </c>
      <c r="K164" s="8" t="n">
        <v>0</v>
      </c>
      <c r="L164" s="8" t="n">
        <v>25555.57298827451</v>
      </c>
    </row>
    <row r="165">
      <c r="A165" t="inlineStr">
        <is>
          <t>S003-딸기</t>
        </is>
      </c>
      <c r="B165" t="inlineStr">
        <is>
          <t>부산 사하구 농장</t>
        </is>
      </c>
      <c r="C165" t="inlineStr">
        <is>
          <t>딸기</t>
        </is>
      </c>
      <c r="D165" t="inlineStr">
        <is>
          <t>6월</t>
        </is>
      </c>
      <c r="E165" s="12" t="n">
        <v>23</v>
      </c>
      <c r="F165" s="13" t="n">
        <v>0.72</v>
      </c>
      <c r="G165" s="8" t="n">
        <v>18302.14285714286</v>
      </c>
      <c r="H165" s="8" t="n">
        <v>0</v>
      </c>
      <c r="I165" s="8" t="n">
        <v>5899.361794553572</v>
      </c>
      <c r="J165" s="8" t="n">
        <v>1543.050028970328</v>
      </c>
      <c r="K165" s="8" t="n">
        <v>0</v>
      </c>
      <c r="L165" s="8" t="n">
        <v>25744.55468066676</v>
      </c>
    </row>
    <row r="166">
      <c r="A166" t="inlineStr">
        <is>
          <t>S003-딸기</t>
        </is>
      </c>
      <c r="B166" t="inlineStr">
        <is>
          <t>부산 사하구 농장</t>
        </is>
      </c>
      <c r="C166" t="inlineStr">
        <is>
          <t>딸기</t>
        </is>
      </c>
      <c r="D166" t="inlineStr">
        <is>
          <t>7월</t>
        </is>
      </c>
      <c r="E166" s="12" t="n">
        <v>26</v>
      </c>
      <c r="F166" s="13" t="n">
        <v>0.78</v>
      </c>
      <c r="G166" s="8" t="n">
        <v>18302.14285714286</v>
      </c>
      <c r="H166" s="8" t="n">
        <v>0</v>
      </c>
      <c r="I166" s="8" t="n">
        <v>6003.045017678573</v>
      </c>
      <c r="J166" s="8" t="n">
        <v>1628.714571270431</v>
      </c>
      <c r="K166" s="8" t="n">
        <v>0</v>
      </c>
      <c r="L166" s="8" t="n">
        <v>25933.90244609187</v>
      </c>
    </row>
    <row r="167">
      <c r="A167" t="inlineStr">
        <is>
          <t>S003-딸기</t>
        </is>
      </c>
      <c r="B167" t="inlineStr">
        <is>
          <t>부산 사하구 농장</t>
        </is>
      </c>
      <c r="C167" t="inlineStr">
        <is>
          <t>딸기</t>
        </is>
      </c>
      <c r="D167" t="inlineStr">
        <is>
          <t>8월</t>
        </is>
      </c>
      <c r="E167" s="12" t="n">
        <v>27</v>
      </c>
      <c r="F167" s="13" t="n">
        <v>0.76</v>
      </c>
      <c r="G167" s="8" t="n">
        <v>18302.14285714286</v>
      </c>
      <c r="H167" s="8" t="n">
        <v>0</v>
      </c>
      <c r="I167" s="8" t="n">
        <v>6037.606092053571</v>
      </c>
      <c r="J167" s="8" t="n">
        <v>1626.266380004073</v>
      </c>
      <c r="K167" s="8" t="n">
        <v>0</v>
      </c>
      <c r="L167" s="8" t="n">
        <v>25966.01532920051</v>
      </c>
    </row>
    <row r="168">
      <c r="A168" t="inlineStr">
        <is>
          <t>S003-딸기</t>
        </is>
      </c>
      <c r="B168" t="inlineStr">
        <is>
          <t>부산 사하구 농장</t>
        </is>
      </c>
      <c r="C168" t="inlineStr">
        <is>
          <t>딸기</t>
        </is>
      </c>
      <c r="D168" t="inlineStr">
        <is>
          <t>9월</t>
        </is>
      </c>
      <c r="E168" s="12" t="n">
        <v>22</v>
      </c>
      <c r="F168" s="13" t="n">
        <v>0.7</v>
      </c>
      <c r="G168" s="8" t="n">
        <v>18302.14285714286</v>
      </c>
      <c r="H168" s="8" t="n">
        <v>0</v>
      </c>
      <c r="I168" s="8" t="n">
        <v>5864.800720178573</v>
      </c>
      <c r="J168" s="8" t="n">
        <v>1521.399402040887</v>
      </c>
      <c r="K168" s="8" t="n">
        <v>0</v>
      </c>
      <c r="L168" s="8" t="n">
        <v>25688.34297936232</v>
      </c>
    </row>
    <row r="169">
      <c r="A169" t="inlineStr">
        <is>
          <t>S003-딸기</t>
        </is>
      </c>
      <c r="B169" t="inlineStr">
        <is>
          <t>부산 사하구 농장</t>
        </is>
      </c>
      <c r="C169" t="inlineStr">
        <is>
          <t>딸기</t>
        </is>
      </c>
      <c r="D169" t="inlineStr">
        <is>
          <t>10월</t>
        </is>
      </c>
      <c r="E169" s="12" t="n">
        <v>15</v>
      </c>
      <c r="F169" s="13" t="n">
        <v>0.62</v>
      </c>
      <c r="G169" s="8" t="n">
        <v>18302.14285714286</v>
      </c>
      <c r="H169" s="8" t="n">
        <v>43.20134296875001</v>
      </c>
      <c r="I169" s="8" t="n">
        <v>5680.474990178572</v>
      </c>
      <c r="J169" s="8" t="n">
        <v>1434.418219060834</v>
      </c>
      <c r="K169" s="8" t="n">
        <v>0</v>
      </c>
      <c r="L169" s="8" t="n">
        <v>25460.23740935102</v>
      </c>
    </row>
    <row r="170">
      <c r="A170" t="inlineStr">
        <is>
          <t>S003-딸기</t>
        </is>
      </c>
      <c r="B170" t="inlineStr">
        <is>
          <t>부산 사하구 농장</t>
        </is>
      </c>
      <c r="C170" t="inlineStr">
        <is>
          <t>딸기</t>
        </is>
      </c>
      <c r="D170" t="inlineStr">
        <is>
          <t>11월</t>
        </is>
      </c>
      <c r="E170" s="12" t="n">
        <v>7</v>
      </c>
      <c r="F170" s="13" t="n">
        <v>0.58</v>
      </c>
      <c r="G170" s="8" t="n">
        <v>18302.14285714286</v>
      </c>
      <c r="H170" s="8" t="n">
        <v>112.32349171875</v>
      </c>
      <c r="I170" s="8" t="n">
        <v>5496.149260178572</v>
      </c>
      <c r="J170" s="8" t="n">
        <v>1427.028493528009</v>
      </c>
      <c r="K170" s="8" t="n">
        <v>0</v>
      </c>
      <c r="L170" s="8" t="n">
        <v>25337.64410256819</v>
      </c>
    </row>
    <row r="171">
      <c r="A171" t="inlineStr">
        <is>
          <t>S003-딸기</t>
        </is>
      </c>
      <c r="B171" t="inlineStr">
        <is>
          <t>부산 사하구 농장</t>
        </is>
      </c>
      <c r="C171" t="inlineStr">
        <is>
          <t>딸기</t>
        </is>
      </c>
      <c r="D171" t="inlineStr">
        <is>
          <t>12월</t>
        </is>
      </c>
      <c r="E171" s="12" t="n">
        <v>0</v>
      </c>
      <c r="F171" s="13" t="n">
        <v>0.55</v>
      </c>
      <c r="G171" s="8" t="n">
        <v>18302.14285714286</v>
      </c>
      <c r="H171" s="8" t="n">
        <v>172.805371875</v>
      </c>
      <c r="I171" s="8" t="n">
        <v>5334.864246428571</v>
      </c>
      <c r="J171" s="8" t="n">
        <v>1464.698712722703</v>
      </c>
      <c r="K171" s="8" t="n">
        <v>0</v>
      </c>
      <c r="L171" s="8" t="n">
        <v>25274.51118816914</v>
      </c>
    </row>
    <row r="172">
      <c r="A172" t="inlineStr">
        <is>
          <t>S003-바질</t>
        </is>
      </c>
      <c r="B172" t="inlineStr">
        <is>
          <t>부산 사하구 농장</t>
        </is>
      </c>
      <c r="C172" t="inlineStr">
        <is>
          <t>바질</t>
        </is>
      </c>
      <c r="D172" t="inlineStr">
        <is>
          <t>1월</t>
        </is>
      </c>
      <c r="E172" s="12" t="n">
        <v>-2</v>
      </c>
      <c r="F172" s="13" t="n">
        <v>0.55</v>
      </c>
      <c r="G172" s="8" t="n">
        <v>27453.21428571429</v>
      </c>
      <c r="H172" s="8" t="n">
        <v>224.6469834375</v>
      </c>
      <c r="I172" s="8" t="n">
        <v>8094.459234642857</v>
      </c>
      <c r="J172" s="8" t="n">
        <v>4135.622978078965</v>
      </c>
      <c r="K172" s="8" t="n">
        <v>0</v>
      </c>
      <c r="L172" s="8" t="n">
        <v>39907.9434818736</v>
      </c>
    </row>
    <row r="173">
      <c r="A173" t="inlineStr">
        <is>
          <t>S003-바질</t>
        </is>
      </c>
      <c r="B173" t="inlineStr">
        <is>
          <t>부산 사하구 농장</t>
        </is>
      </c>
      <c r="C173" t="inlineStr">
        <is>
          <t>바질</t>
        </is>
      </c>
      <c r="D173" t="inlineStr">
        <is>
          <t>2월</t>
        </is>
      </c>
      <c r="E173" s="12" t="n">
        <v>1</v>
      </c>
      <c r="F173" s="13" t="n">
        <v>0.52</v>
      </c>
      <c r="G173" s="8" t="n">
        <v>27453.21428571429</v>
      </c>
      <c r="H173" s="8" t="n">
        <v>198.72617765625</v>
      </c>
      <c r="I173" s="8" t="n">
        <v>8163.581383392857</v>
      </c>
      <c r="J173" s="8" t="n">
        <v>4105.574178075901</v>
      </c>
      <c r="K173" s="8" t="n">
        <v>0</v>
      </c>
      <c r="L173" s="8" t="n">
        <v>39921.09602483929</v>
      </c>
    </row>
    <row r="174">
      <c r="A174" t="inlineStr">
        <is>
          <t>S003-바질</t>
        </is>
      </c>
      <c r="B174" t="inlineStr">
        <is>
          <t>부산 사하구 농장</t>
        </is>
      </c>
      <c r="C174" t="inlineStr">
        <is>
          <t>바질</t>
        </is>
      </c>
      <c r="D174" t="inlineStr">
        <is>
          <t>3월</t>
        </is>
      </c>
      <c r="E174" s="12" t="n">
        <v>7</v>
      </c>
      <c r="F174" s="13" t="n">
        <v>0.55</v>
      </c>
      <c r="G174" s="8" t="n">
        <v>27453.21428571429</v>
      </c>
      <c r="H174" s="8" t="n">
        <v>146.88456609375</v>
      </c>
      <c r="I174" s="8" t="n">
        <v>8301.825680892858</v>
      </c>
      <c r="J174" s="8" t="n">
        <v>4075.191306890916</v>
      </c>
      <c r="K174" s="8" t="n">
        <v>0</v>
      </c>
      <c r="L174" s="8" t="n">
        <v>39977.11583959182</v>
      </c>
    </row>
    <row r="175">
      <c r="A175" t="inlineStr">
        <is>
          <t>S003-바질</t>
        </is>
      </c>
      <c r="B175" t="inlineStr">
        <is>
          <t>부산 사하구 농장</t>
        </is>
      </c>
      <c r="C175" t="inlineStr">
        <is>
          <t>바질</t>
        </is>
      </c>
      <c r="D175" t="inlineStr">
        <is>
          <t>4월</t>
        </is>
      </c>
      <c r="E175" s="12" t="n">
        <v>14</v>
      </c>
      <c r="F175" s="13" t="n">
        <v>0.58</v>
      </c>
      <c r="G175" s="8" t="n">
        <v>27453.21428571429</v>
      </c>
      <c r="H175" s="8" t="n">
        <v>86.40268593750001</v>
      </c>
      <c r="I175" s="8" t="n">
        <v>8463.110694642857</v>
      </c>
      <c r="J175" s="8" t="n">
        <v>4073.335869165863</v>
      </c>
      <c r="K175" s="8" t="n">
        <v>0</v>
      </c>
      <c r="L175" s="8" t="n">
        <v>40076.06353546051</v>
      </c>
    </row>
    <row r="176">
      <c r="A176" t="inlineStr">
        <is>
          <t>S003-바질</t>
        </is>
      </c>
      <c r="B176" t="inlineStr">
        <is>
          <t>부산 사하구 농장</t>
        </is>
      </c>
      <c r="C176" t="inlineStr">
        <is>
          <t>바질</t>
        </is>
      </c>
      <c r="D176" t="inlineStr">
        <is>
          <t>5월</t>
        </is>
      </c>
      <c r="E176" s="12" t="n">
        <v>19</v>
      </c>
      <c r="F176" s="13" t="n">
        <v>0.65</v>
      </c>
      <c r="G176" s="8" t="n">
        <v>27453.21428571429</v>
      </c>
      <c r="H176" s="8" t="n">
        <v>43.20134296875001</v>
      </c>
      <c r="I176" s="8" t="n">
        <v>8578.314275892857</v>
      </c>
      <c r="J176" s="8" t="n">
        <v>4133.436183653428</v>
      </c>
      <c r="K176" s="8" t="n">
        <v>0</v>
      </c>
      <c r="L176" s="8" t="n">
        <v>40208.16608822932</v>
      </c>
    </row>
    <row r="177">
      <c r="A177" t="inlineStr">
        <is>
          <t>S003-바질</t>
        </is>
      </c>
      <c r="B177" t="inlineStr">
        <is>
          <t>부산 사하구 농장</t>
        </is>
      </c>
      <c r="C177" t="inlineStr">
        <is>
          <t>바질</t>
        </is>
      </c>
      <c r="D177" t="inlineStr">
        <is>
          <t>6월</t>
        </is>
      </c>
      <c r="E177" s="12" t="n">
        <v>23</v>
      </c>
      <c r="F177" s="13" t="n">
        <v>0.72</v>
      </c>
      <c r="G177" s="8" t="n">
        <v>27453.21428571429</v>
      </c>
      <c r="H177" s="8" t="n">
        <v>8.640268593750001</v>
      </c>
      <c r="I177" s="8" t="n">
        <v>8670.477140892859</v>
      </c>
      <c r="J177" s="8" t="n">
        <v>4231.32931385017</v>
      </c>
      <c r="K177" s="8" t="n">
        <v>0</v>
      </c>
      <c r="L177" s="8" t="n">
        <v>40363.66100905107</v>
      </c>
    </row>
    <row r="178">
      <c r="A178" t="inlineStr">
        <is>
          <t>S003-바질</t>
        </is>
      </c>
      <c r="B178" t="inlineStr">
        <is>
          <t>부산 사하구 농장</t>
        </is>
      </c>
      <c r="C178" t="inlineStr">
        <is>
          <t>바질</t>
        </is>
      </c>
      <c r="D178" t="inlineStr">
        <is>
          <t>7월</t>
        </is>
      </c>
      <c r="E178" s="12" t="n">
        <v>26</v>
      </c>
      <c r="F178" s="13" t="n">
        <v>0.78</v>
      </c>
      <c r="G178" s="8" t="n">
        <v>27453.21428571429</v>
      </c>
      <c r="H178" s="8" t="n">
        <v>0</v>
      </c>
      <c r="I178" s="8" t="n">
        <v>8762.640005892858</v>
      </c>
      <c r="J178" s="8" t="n">
        <v>4326.773486401497</v>
      </c>
      <c r="K178" s="8" t="n">
        <v>0</v>
      </c>
      <c r="L178" s="8" t="n">
        <v>40542.62777800865</v>
      </c>
    </row>
    <row r="179">
      <c r="A179" t="inlineStr">
        <is>
          <t>S003-바질</t>
        </is>
      </c>
      <c r="B179" t="inlineStr">
        <is>
          <t>부산 사하구 농장</t>
        </is>
      </c>
      <c r="C179" t="inlineStr">
        <is>
          <t>바질</t>
        </is>
      </c>
      <c r="D179" t="inlineStr">
        <is>
          <t>8월</t>
        </is>
      </c>
      <c r="E179" s="12" t="n">
        <v>27</v>
      </c>
      <c r="F179" s="13" t="n">
        <v>0.76</v>
      </c>
      <c r="G179" s="8" t="n">
        <v>27453.21428571429</v>
      </c>
      <c r="H179" s="8" t="n">
        <v>0</v>
      </c>
      <c r="I179" s="8" t="n">
        <v>8797.201080267858</v>
      </c>
      <c r="J179" s="8" t="n">
        <v>4324.669870785429</v>
      </c>
      <c r="K179" s="8" t="n">
        <v>0</v>
      </c>
      <c r="L179" s="8" t="n">
        <v>40575.08523676758</v>
      </c>
    </row>
    <row r="180">
      <c r="A180" t="inlineStr">
        <is>
          <t>S003-바질</t>
        </is>
      </c>
      <c r="B180" t="inlineStr">
        <is>
          <t>부산 사하구 농장</t>
        </is>
      </c>
      <c r="C180" t="inlineStr">
        <is>
          <t>바질</t>
        </is>
      </c>
      <c r="D180" t="inlineStr">
        <is>
          <t>9월</t>
        </is>
      </c>
      <c r="E180" s="12" t="n">
        <v>22</v>
      </c>
      <c r="F180" s="13" t="n">
        <v>0.7</v>
      </c>
      <c r="G180" s="8" t="n">
        <v>27453.21428571429</v>
      </c>
      <c r="H180" s="8" t="n">
        <v>17.2805371875</v>
      </c>
      <c r="I180" s="8" t="n">
        <v>8647.436424642858</v>
      </c>
      <c r="J180" s="8" t="n">
        <v>4200.801480107047</v>
      </c>
      <c r="K180" s="8" t="n">
        <v>0</v>
      </c>
      <c r="L180" s="8" t="n">
        <v>40318.73272765169</v>
      </c>
    </row>
    <row r="181">
      <c r="A181" t="inlineStr">
        <is>
          <t>S003-바질</t>
        </is>
      </c>
      <c r="B181" t="inlineStr">
        <is>
          <t>부산 사하구 농장</t>
        </is>
      </c>
      <c r="C181" t="inlineStr">
        <is>
          <t>바질</t>
        </is>
      </c>
      <c r="D181" t="inlineStr">
        <is>
          <t>10월</t>
        </is>
      </c>
      <c r="E181" s="12" t="n">
        <v>15</v>
      </c>
      <c r="F181" s="13" t="n">
        <v>0.62</v>
      </c>
      <c r="G181" s="8" t="n">
        <v>27453.21428571429</v>
      </c>
      <c r="H181" s="8" t="n">
        <v>77.76241734375</v>
      </c>
      <c r="I181" s="8" t="n">
        <v>8486.151410892859</v>
      </c>
      <c r="J181" s="8" t="n">
        <v>4094.20912470655</v>
      </c>
      <c r="K181" s="8" t="n">
        <v>0</v>
      </c>
      <c r="L181" s="8" t="n">
        <v>40111.33723865744</v>
      </c>
    </row>
    <row r="182">
      <c r="A182" t="inlineStr">
        <is>
          <t>S003-바질</t>
        </is>
      </c>
      <c r="B182" t="inlineStr">
        <is>
          <t>부산 사하구 농장</t>
        </is>
      </c>
      <c r="C182" t="inlineStr">
        <is>
          <t>바질</t>
        </is>
      </c>
      <c r="D182" t="inlineStr">
        <is>
          <t>11월</t>
        </is>
      </c>
      <c r="E182" s="12" t="n">
        <v>7</v>
      </c>
      <c r="F182" s="13" t="n">
        <v>0.58</v>
      </c>
      <c r="G182" s="8" t="n">
        <v>27453.21428571429</v>
      </c>
      <c r="H182" s="8" t="n">
        <v>146.88456609375</v>
      </c>
      <c r="I182" s="8" t="n">
        <v>8301.825680892858</v>
      </c>
      <c r="J182" s="8" t="n">
        <v>4083.939475429775</v>
      </c>
      <c r="K182" s="8" t="n">
        <v>0</v>
      </c>
      <c r="L182" s="8" t="n">
        <v>39985.86400813067</v>
      </c>
    </row>
    <row r="183">
      <c r="A183" t="inlineStr">
        <is>
          <t>S003-바질</t>
        </is>
      </c>
      <c r="B183" t="inlineStr">
        <is>
          <t>부산 사하구 농장</t>
        </is>
      </c>
      <c r="C183" t="inlineStr">
        <is>
          <t>바질</t>
        </is>
      </c>
      <c r="D183" t="inlineStr">
        <is>
          <t>12월</t>
        </is>
      </c>
      <c r="E183" s="12" t="n">
        <v>0</v>
      </c>
      <c r="F183" s="13" t="n">
        <v>0.55</v>
      </c>
      <c r="G183" s="8" t="n">
        <v>27453.21428571429</v>
      </c>
      <c r="H183" s="8" t="n">
        <v>207.36644625</v>
      </c>
      <c r="I183" s="8" t="n">
        <v>8140.540667142857</v>
      </c>
      <c r="J183" s="8" t="n">
        <v>4119.106486305098</v>
      </c>
      <c r="K183" s="8" t="n">
        <v>0</v>
      </c>
      <c r="L183" s="8" t="n">
        <v>39920.22788541224</v>
      </c>
    </row>
    <row r="184">
      <c r="A184" t="inlineStr">
        <is>
          <t>S003-애플민트</t>
        </is>
      </c>
      <c r="B184" t="inlineStr">
        <is>
          <t>부산 사하구 농장</t>
        </is>
      </c>
      <c r="C184" t="inlineStr">
        <is>
          <t>애플민트</t>
        </is>
      </c>
      <c r="D184" t="inlineStr">
        <is>
          <t>1월</t>
        </is>
      </c>
      <c r="E184" s="12" t="n">
        <v>-2</v>
      </c>
      <c r="F184" s="13" t="n">
        <v>0.55</v>
      </c>
      <c r="G184" s="8" t="n">
        <v>18668.18571428572</v>
      </c>
      <c r="H184" s="8" t="n">
        <v>311.049669375</v>
      </c>
      <c r="I184" s="8" t="n">
        <v>5496.859250357143</v>
      </c>
      <c r="J184" s="8" t="n">
        <v>23724.5436126784</v>
      </c>
      <c r="K184" s="8" t="n">
        <v>0</v>
      </c>
      <c r="L184" s="8" t="n">
        <v>48200.63824669625</v>
      </c>
    </row>
    <row r="185">
      <c r="A185" t="inlineStr">
        <is>
          <t>S003-애플민트</t>
        </is>
      </c>
      <c r="B185" t="inlineStr">
        <is>
          <t>부산 사하구 농장</t>
        </is>
      </c>
      <c r="C185" t="inlineStr">
        <is>
          <t>애플민트</t>
        </is>
      </c>
      <c r="D185" t="inlineStr">
        <is>
          <t>2월</t>
        </is>
      </c>
      <c r="E185" s="12" t="n">
        <v>1</v>
      </c>
      <c r="F185" s="13" t="n">
        <v>0.52</v>
      </c>
      <c r="G185" s="8" t="n">
        <v>18668.18571428572</v>
      </c>
      <c r="H185" s="8" t="n">
        <v>272.168460703125</v>
      </c>
      <c r="I185" s="8" t="n">
        <v>5548.700861919643</v>
      </c>
      <c r="J185" s="8" t="n">
        <v>23706.40128995376</v>
      </c>
      <c r="K185" s="8" t="n">
        <v>0</v>
      </c>
      <c r="L185" s="8" t="n">
        <v>48195.45632686224</v>
      </c>
    </row>
    <row r="186">
      <c r="A186" t="inlineStr">
        <is>
          <t>S003-애플민트</t>
        </is>
      </c>
      <c r="B186" t="inlineStr">
        <is>
          <t>부산 사하구 농장</t>
        </is>
      </c>
      <c r="C186" t="inlineStr">
        <is>
          <t>애플민트</t>
        </is>
      </c>
      <c r="D186" t="inlineStr">
        <is>
          <t>3월</t>
        </is>
      </c>
      <c r="E186" s="12" t="n">
        <v>7</v>
      </c>
      <c r="F186" s="13" t="n">
        <v>0.55</v>
      </c>
      <c r="G186" s="8" t="n">
        <v>18668.18571428572</v>
      </c>
      <c r="H186" s="8" t="n">
        <v>194.406043359375</v>
      </c>
      <c r="I186" s="8" t="n">
        <v>5652.384085044643</v>
      </c>
      <c r="J186" s="8" t="n">
        <v>23699.81215397405</v>
      </c>
      <c r="K186" s="8" t="n">
        <v>0</v>
      </c>
      <c r="L186" s="8" t="n">
        <v>48214.78799666378</v>
      </c>
    </row>
    <row r="187">
      <c r="A187" t="inlineStr">
        <is>
          <t>S003-애플민트</t>
        </is>
      </c>
      <c r="B187" t="inlineStr">
        <is>
          <t>부산 사하구 농장</t>
        </is>
      </c>
      <c r="C187" t="inlineStr">
        <is>
          <t>애플민트</t>
        </is>
      </c>
      <c r="D187" t="inlineStr">
        <is>
          <t>4월</t>
        </is>
      </c>
      <c r="E187" s="12" t="n">
        <v>14</v>
      </c>
      <c r="F187" s="13" t="n">
        <v>0.58</v>
      </c>
      <c r="G187" s="8" t="n">
        <v>18668.18571428572</v>
      </c>
      <c r="H187" s="8" t="n">
        <v>103.683223125</v>
      </c>
      <c r="I187" s="8" t="n">
        <v>5773.347845357142</v>
      </c>
      <c r="J187" s="8" t="n">
        <v>23725.71582847682</v>
      </c>
      <c r="K187" s="8" t="n">
        <v>0</v>
      </c>
      <c r="L187" s="8" t="n">
        <v>48270.93261124468</v>
      </c>
    </row>
    <row r="188">
      <c r="A188" t="inlineStr">
        <is>
          <t>S003-애플민트</t>
        </is>
      </c>
      <c r="B188" t="inlineStr">
        <is>
          <t>부산 사하구 농장</t>
        </is>
      </c>
      <c r="C188" t="inlineStr">
        <is>
          <t>애플민트</t>
        </is>
      </c>
      <c r="D188" t="inlineStr">
        <is>
          <t>5월</t>
        </is>
      </c>
      <c r="E188" s="12" t="n">
        <v>19</v>
      </c>
      <c r="F188" s="13" t="n">
        <v>0.65</v>
      </c>
      <c r="G188" s="8" t="n">
        <v>18668.18571428572</v>
      </c>
      <c r="H188" s="8" t="n">
        <v>38.881208671875</v>
      </c>
      <c r="I188" s="8" t="n">
        <v>5859.750531294642</v>
      </c>
      <c r="J188" s="8" t="n">
        <v>23805.55388496989</v>
      </c>
      <c r="K188" s="8" t="n">
        <v>0</v>
      </c>
      <c r="L188" s="8" t="n">
        <v>48372.37133922213</v>
      </c>
    </row>
    <row r="189">
      <c r="A189" t="inlineStr">
        <is>
          <t>S003-애플민트</t>
        </is>
      </c>
      <c r="B189" t="inlineStr">
        <is>
          <t>부산 사하구 농장</t>
        </is>
      </c>
      <c r="C189" t="inlineStr">
        <is>
          <t>애플민트</t>
        </is>
      </c>
      <c r="D189" t="inlineStr">
        <is>
          <t>6월</t>
        </is>
      </c>
      <c r="E189" s="12" t="n">
        <v>23</v>
      </c>
      <c r="F189" s="13" t="n">
        <v>0.72</v>
      </c>
      <c r="G189" s="8" t="n">
        <v>18668.18571428572</v>
      </c>
      <c r="H189" s="8" t="n">
        <v>0</v>
      </c>
      <c r="I189" s="8" t="n">
        <v>5946.153217232143</v>
      </c>
      <c r="J189" s="8" t="n">
        <v>23906.47514390304</v>
      </c>
      <c r="K189" s="8" t="n">
        <v>0</v>
      </c>
      <c r="L189" s="8" t="n">
        <v>48520.8140754209</v>
      </c>
    </row>
    <row r="190">
      <c r="A190" t="inlineStr">
        <is>
          <t>S003-애플민트</t>
        </is>
      </c>
      <c r="B190" t="inlineStr">
        <is>
          <t>부산 사하구 농장</t>
        </is>
      </c>
      <c r="C190" t="inlineStr">
        <is>
          <t>애플민트</t>
        </is>
      </c>
      <c r="D190" t="inlineStr">
        <is>
          <t>7월</t>
        </is>
      </c>
      <c r="E190" s="12" t="n">
        <v>26</v>
      </c>
      <c r="F190" s="13" t="n">
        <v>0.78</v>
      </c>
      <c r="G190" s="8" t="n">
        <v>18668.18571428572</v>
      </c>
      <c r="H190" s="8" t="n">
        <v>0</v>
      </c>
      <c r="I190" s="8" t="n">
        <v>6049.836440357142</v>
      </c>
      <c r="J190" s="8" t="n">
        <v>23992.49747993653</v>
      </c>
      <c r="K190" s="8" t="n">
        <v>0</v>
      </c>
      <c r="L190" s="8" t="n">
        <v>48710.51963457939</v>
      </c>
    </row>
    <row r="191">
      <c r="A191" t="inlineStr">
        <is>
          <t>S003-애플민트</t>
        </is>
      </c>
      <c r="B191" t="inlineStr">
        <is>
          <t>부산 사하구 농장</t>
        </is>
      </c>
      <c r="C191" t="inlineStr">
        <is>
          <t>애플민트</t>
        </is>
      </c>
      <c r="D191" t="inlineStr">
        <is>
          <t>8월</t>
        </is>
      </c>
      <c r="E191" s="12" t="n">
        <v>27</v>
      </c>
      <c r="F191" s="13" t="n">
        <v>0.76</v>
      </c>
      <c r="G191" s="8" t="n">
        <v>18668.18571428572</v>
      </c>
      <c r="H191" s="8" t="n">
        <v>0</v>
      </c>
      <c r="I191" s="8" t="n">
        <v>6084.397514732143</v>
      </c>
      <c r="J191" s="8" t="n">
        <v>23990.14213958382</v>
      </c>
      <c r="K191" s="8" t="n">
        <v>0</v>
      </c>
      <c r="L191" s="8" t="n">
        <v>48742.72536860168</v>
      </c>
    </row>
    <row r="192">
      <c r="A192" t="inlineStr">
        <is>
          <t>S003-애플민트</t>
        </is>
      </c>
      <c r="B192" t="inlineStr">
        <is>
          <t>부산 사하구 농장</t>
        </is>
      </c>
      <c r="C192" t="inlineStr">
        <is>
          <t>애플민트</t>
        </is>
      </c>
      <c r="D192" t="inlineStr">
        <is>
          <t>9월</t>
        </is>
      </c>
      <c r="E192" s="12" t="n">
        <v>22</v>
      </c>
      <c r="F192" s="13" t="n">
        <v>0.7</v>
      </c>
      <c r="G192" s="8" t="n">
        <v>18668.18571428572</v>
      </c>
      <c r="H192" s="8" t="n">
        <v>0</v>
      </c>
      <c r="I192" s="8" t="n">
        <v>5911.592142857143</v>
      </c>
      <c r="J192" s="8" t="n">
        <v>23884.70989434242</v>
      </c>
      <c r="K192" s="8" t="n">
        <v>0</v>
      </c>
      <c r="L192" s="8" t="n">
        <v>48464.48775148528</v>
      </c>
    </row>
    <row r="193">
      <c r="A193" t="inlineStr">
        <is>
          <t>S003-애플민트</t>
        </is>
      </c>
      <c r="B193" t="inlineStr">
        <is>
          <t>부산 사하구 농장</t>
        </is>
      </c>
      <c r="C193" t="inlineStr">
        <is>
          <t>애플민트</t>
        </is>
      </c>
      <c r="D193" t="inlineStr">
        <is>
          <t>10월</t>
        </is>
      </c>
      <c r="E193" s="12" t="n">
        <v>15</v>
      </c>
      <c r="F193" s="13" t="n">
        <v>0.62</v>
      </c>
      <c r="G193" s="8" t="n">
        <v>18668.18571428572</v>
      </c>
      <c r="H193" s="8" t="n">
        <v>90.72282023437501</v>
      </c>
      <c r="I193" s="8" t="n">
        <v>5790.628382544643</v>
      </c>
      <c r="J193" s="8" t="n">
        <v>23750.51404333887</v>
      </c>
      <c r="K193" s="8" t="n">
        <v>0</v>
      </c>
      <c r="L193" s="8" t="n">
        <v>48300.0509604036</v>
      </c>
    </row>
    <row r="194">
      <c r="A194" t="inlineStr">
        <is>
          <t>S003-애플민트</t>
        </is>
      </c>
      <c r="B194" t="inlineStr">
        <is>
          <t>부산 사하구 농장</t>
        </is>
      </c>
      <c r="C194" t="inlineStr">
        <is>
          <t>애플민트</t>
        </is>
      </c>
      <c r="D194" t="inlineStr">
        <is>
          <t>11월</t>
        </is>
      </c>
      <c r="E194" s="12" t="n">
        <v>7</v>
      </c>
      <c r="F194" s="13" t="n">
        <v>0.58</v>
      </c>
      <c r="G194" s="8" t="n">
        <v>18668.18571428572</v>
      </c>
      <c r="H194" s="8" t="n">
        <v>194.406043359375</v>
      </c>
      <c r="I194" s="8" t="n">
        <v>5652.384085044643</v>
      </c>
      <c r="J194" s="8" t="n">
        <v>23708.54094078912</v>
      </c>
      <c r="K194" s="8" t="n">
        <v>0</v>
      </c>
      <c r="L194" s="8" t="n">
        <v>48223.51678347886</v>
      </c>
    </row>
    <row r="195">
      <c r="A195" t="inlineStr">
        <is>
          <t>S003-애플민트</t>
        </is>
      </c>
      <c r="B195" t="inlineStr">
        <is>
          <t>부산 사하구 농장</t>
        </is>
      </c>
      <c r="C195" t="inlineStr">
        <is>
          <t>애플민트</t>
        </is>
      </c>
      <c r="D195" t="inlineStr">
        <is>
          <t>12월</t>
        </is>
      </c>
      <c r="E195" s="12" t="n">
        <v>0</v>
      </c>
      <c r="F195" s="13" t="n">
        <v>0.55</v>
      </c>
      <c r="G195" s="8" t="n">
        <v>18668.18571428572</v>
      </c>
      <c r="H195" s="8" t="n">
        <v>285.12886359375</v>
      </c>
      <c r="I195" s="8" t="n">
        <v>5531.420324732144</v>
      </c>
      <c r="J195" s="8" t="n">
        <v>23715.95521187648</v>
      </c>
      <c r="K195" s="8" t="n">
        <v>0</v>
      </c>
      <c r="L195" s="8" t="n">
        <v>48200.69011448808</v>
      </c>
    </row>
    <row r="196">
      <c r="A196" t="inlineStr">
        <is>
          <t>S003-쪽파</t>
        </is>
      </c>
      <c r="B196" t="inlineStr">
        <is>
          <t>부산 사하구 농장</t>
        </is>
      </c>
      <c r="C196" t="inlineStr">
        <is>
          <t>쪽파</t>
        </is>
      </c>
      <c r="D196" t="inlineStr">
        <is>
          <t>1월</t>
        </is>
      </c>
      <c r="E196" s="12" t="n">
        <v>-2</v>
      </c>
      <c r="F196" s="13" t="n">
        <v>0.55</v>
      </c>
      <c r="G196" s="8" t="n">
        <v>21962.57142857143</v>
      </c>
      <c r="H196" s="8" t="n">
        <v>190.0859090625</v>
      </c>
      <c r="I196" s="8" t="n">
        <v>6447.918528214286</v>
      </c>
      <c r="J196" s="8" t="n">
        <v>23727.69178697569</v>
      </c>
      <c r="K196" s="8" t="n">
        <v>0</v>
      </c>
      <c r="L196" s="8" t="n">
        <v>52328.26765282391</v>
      </c>
    </row>
    <row r="197">
      <c r="A197" t="inlineStr">
        <is>
          <t>S003-쪽파</t>
        </is>
      </c>
      <c r="B197" t="inlineStr">
        <is>
          <t>부산 사하구 농장</t>
        </is>
      </c>
      <c r="C197" t="inlineStr">
        <is>
          <t>쪽파</t>
        </is>
      </c>
      <c r="D197" t="inlineStr">
        <is>
          <t>2월</t>
        </is>
      </c>
      <c r="E197" s="12" t="n">
        <v>1</v>
      </c>
      <c r="F197" s="13" t="n">
        <v>0.52</v>
      </c>
      <c r="G197" s="8" t="n">
        <v>21962.57142857143</v>
      </c>
      <c r="H197" s="8" t="n">
        <v>164.16510328125</v>
      </c>
      <c r="I197" s="8" t="n">
        <v>6517.040676964286</v>
      </c>
      <c r="J197" s="8" t="n">
        <v>23696.18151060087</v>
      </c>
      <c r="K197" s="8" t="n">
        <v>0</v>
      </c>
      <c r="L197" s="8" t="n">
        <v>52339.95871941784</v>
      </c>
    </row>
    <row r="198">
      <c r="A198" t="inlineStr">
        <is>
          <t>S003-쪽파</t>
        </is>
      </c>
      <c r="B198" t="inlineStr">
        <is>
          <t>부산 사하구 농장</t>
        </is>
      </c>
      <c r="C198" t="inlineStr">
        <is>
          <t>쪽파</t>
        </is>
      </c>
      <c r="D198" t="inlineStr">
        <is>
          <t>3월</t>
        </is>
      </c>
      <c r="E198" s="12" t="n">
        <v>7</v>
      </c>
      <c r="F198" s="13" t="n">
        <v>0.55</v>
      </c>
      <c r="G198" s="8" t="n">
        <v>21962.57142857143</v>
      </c>
      <c r="H198" s="8" t="n">
        <v>112.32349171875</v>
      </c>
      <c r="I198" s="8" t="n">
        <v>6655.284974464286</v>
      </c>
      <c r="J198" s="8" t="n">
        <v>23662.83926824347</v>
      </c>
      <c r="K198" s="8" t="n">
        <v>0</v>
      </c>
      <c r="L198" s="8" t="n">
        <v>52393.01916299794</v>
      </c>
    </row>
    <row r="199">
      <c r="A199" t="inlineStr">
        <is>
          <t>S003-쪽파</t>
        </is>
      </c>
      <c r="B199" t="inlineStr">
        <is>
          <t>부산 사하구 농장</t>
        </is>
      </c>
      <c r="C199" t="inlineStr">
        <is>
          <t>쪽파</t>
        </is>
      </c>
      <c r="D199" t="inlineStr">
        <is>
          <t>4월</t>
        </is>
      </c>
      <c r="E199" s="12" t="n">
        <v>14</v>
      </c>
      <c r="F199" s="13" t="n">
        <v>0.58</v>
      </c>
      <c r="G199" s="8" t="n">
        <v>21962.57142857143</v>
      </c>
      <c r="H199" s="8" t="n">
        <v>51.8416115625</v>
      </c>
      <c r="I199" s="8" t="n">
        <v>6816.569988214285</v>
      </c>
      <c r="J199" s="8" t="n">
        <v>23657.5307656013</v>
      </c>
      <c r="K199" s="8" t="n">
        <v>0</v>
      </c>
      <c r="L199" s="8" t="n">
        <v>52488.51379394952</v>
      </c>
    </row>
    <row r="200">
      <c r="A200" t="inlineStr">
        <is>
          <t>S003-쪽파</t>
        </is>
      </c>
      <c r="B200" t="inlineStr">
        <is>
          <t>부산 사하구 농장</t>
        </is>
      </c>
      <c r="C200" t="inlineStr">
        <is>
          <t>쪽파</t>
        </is>
      </c>
      <c r="D200" t="inlineStr">
        <is>
          <t>5월</t>
        </is>
      </c>
      <c r="E200" s="12" t="n">
        <v>19</v>
      </c>
      <c r="F200" s="13" t="n">
        <v>0.65</v>
      </c>
      <c r="G200" s="8" t="n">
        <v>21962.57142857143</v>
      </c>
      <c r="H200" s="8" t="n">
        <v>8.640268593750001</v>
      </c>
      <c r="I200" s="8" t="n">
        <v>6931.773569464286</v>
      </c>
      <c r="J200" s="8" t="n">
        <v>23714.99369557756</v>
      </c>
      <c r="K200" s="8" t="n">
        <v>0</v>
      </c>
      <c r="L200" s="8" t="n">
        <v>52617.97896220702</v>
      </c>
    </row>
    <row r="201">
      <c r="A201" t="inlineStr">
        <is>
          <t>S003-쪽파</t>
        </is>
      </c>
      <c r="B201" t="inlineStr">
        <is>
          <t>부산 사하구 농장</t>
        </is>
      </c>
      <c r="C201" t="inlineStr">
        <is>
          <t>쪽파</t>
        </is>
      </c>
      <c r="D201" t="inlineStr">
        <is>
          <t>6월</t>
        </is>
      </c>
      <c r="E201" s="12" t="n">
        <v>23</v>
      </c>
      <c r="F201" s="13" t="n">
        <v>0.72</v>
      </c>
      <c r="G201" s="8" t="n">
        <v>21962.57142857143</v>
      </c>
      <c r="H201" s="8" t="n">
        <v>0</v>
      </c>
      <c r="I201" s="8" t="n">
        <v>7058.497508839286</v>
      </c>
      <c r="J201" s="8" t="n">
        <v>23785.26165107512</v>
      </c>
      <c r="K201" s="8" t="n">
        <v>0</v>
      </c>
      <c r="L201" s="8" t="n">
        <v>52806.33058848583</v>
      </c>
    </row>
    <row r="202">
      <c r="A202" t="inlineStr">
        <is>
          <t>S003-쪽파</t>
        </is>
      </c>
      <c r="B202" t="inlineStr">
        <is>
          <t>부산 사하구 농장</t>
        </is>
      </c>
      <c r="C202" t="inlineStr">
        <is>
          <t>쪽파</t>
        </is>
      </c>
      <c r="D202" t="inlineStr">
        <is>
          <t>7월</t>
        </is>
      </c>
      <c r="E202" s="12" t="n">
        <v>26</v>
      </c>
      <c r="F202" s="13" t="n">
        <v>0.78</v>
      </c>
      <c r="G202" s="8" t="n">
        <v>21962.57142857143</v>
      </c>
      <c r="H202" s="8" t="n">
        <v>0</v>
      </c>
      <c r="I202" s="8" t="n">
        <v>7162.180731964285</v>
      </c>
      <c r="J202" s="8" t="n">
        <v>23870.41594886178</v>
      </c>
      <c r="K202" s="8" t="n">
        <v>0</v>
      </c>
      <c r="L202" s="8" t="n">
        <v>52995.16810939749</v>
      </c>
    </row>
    <row r="203">
      <c r="A203" t="inlineStr">
        <is>
          <t>S003-쪽파</t>
        </is>
      </c>
      <c r="B203" t="inlineStr">
        <is>
          <t>부산 사하구 농장</t>
        </is>
      </c>
      <c r="C203" t="inlineStr">
        <is>
          <t>쪽파</t>
        </is>
      </c>
      <c r="D203" t="inlineStr">
        <is>
          <t>8월</t>
        </is>
      </c>
      <c r="E203" s="12" t="n">
        <v>27</v>
      </c>
      <c r="F203" s="13" t="n">
        <v>0.76</v>
      </c>
      <c r="G203" s="8" t="n">
        <v>21962.57142857143</v>
      </c>
      <c r="H203" s="8" t="n">
        <v>0</v>
      </c>
      <c r="I203" s="8" t="n">
        <v>7196.741806339285</v>
      </c>
      <c r="J203" s="8" t="n">
        <v>23867.83534423868</v>
      </c>
      <c r="K203" s="8" t="n">
        <v>0</v>
      </c>
      <c r="L203" s="8" t="n">
        <v>53027.14857914939</v>
      </c>
    </row>
    <row r="204">
      <c r="A204" t="inlineStr">
        <is>
          <t>S003-쪽파</t>
        </is>
      </c>
      <c r="B204" t="inlineStr">
        <is>
          <t>부산 사하구 농장</t>
        </is>
      </c>
      <c r="C204" t="inlineStr">
        <is>
          <t>쪽파</t>
        </is>
      </c>
      <c r="D204" t="inlineStr">
        <is>
          <t>9월</t>
        </is>
      </c>
      <c r="E204" s="12" t="n">
        <v>22</v>
      </c>
      <c r="F204" s="13" t="n">
        <v>0.7</v>
      </c>
      <c r="G204" s="8" t="n">
        <v>21962.57142857143</v>
      </c>
      <c r="H204" s="8" t="n">
        <v>0</v>
      </c>
      <c r="I204" s="8" t="n">
        <v>7023.936434464285</v>
      </c>
      <c r="J204" s="8" t="n">
        <v>23763.77448583665</v>
      </c>
      <c r="K204" s="8" t="n">
        <v>0</v>
      </c>
      <c r="L204" s="8" t="n">
        <v>52750.28234887237</v>
      </c>
    </row>
    <row r="205">
      <c r="A205" t="inlineStr">
        <is>
          <t>S003-쪽파</t>
        </is>
      </c>
      <c r="B205" t="inlineStr">
        <is>
          <t>부산 사하구 농장</t>
        </is>
      </c>
      <c r="C205" t="inlineStr">
        <is>
          <t>쪽파</t>
        </is>
      </c>
      <c r="D205" t="inlineStr">
        <is>
          <t>10월</t>
        </is>
      </c>
      <c r="E205" s="12" t="n">
        <v>15</v>
      </c>
      <c r="F205" s="13" t="n">
        <v>0.62</v>
      </c>
      <c r="G205" s="8" t="n">
        <v>21962.57142857143</v>
      </c>
      <c r="H205" s="8" t="n">
        <v>43.20134296875001</v>
      </c>
      <c r="I205" s="8" t="n">
        <v>6839.610704464285</v>
      </c>
      <c r="J205" s="8" t="n">
        <v>23677.8337405691</v>
      </c>
      <c r="K205" s="8" t="n">
        <v>0</v>
      </c>
      <c r="L205" s="8" t="n">
        <v>52523.21721657356</v>
      </c>
    </row>
    <row r="206">
      <c r="A206" t="inlineStr">
        <is>
          <t>S003-쪽파</t>
        </is>
      </c>
      <c r="B206" t="inlineStr">
        <is>
          <t>부산 사하구 농장</t>
        </is>
      </c>
      <c r="C206" t="inlineStr">
        <is>
          <t>쪽파</t>
        </is>
      </c>
      <c r="D206" t="inlineStr">
        <is>
          <t>11월</t>
        </is>
      </c>
      <c r="E206" s="12" t="n">
        <v>7</v>
      </c>
      <c r="F206" s="13" t="n">
        <v>0.58</v>
      </c>
      <c r="G206" s="8" t="n">
        <v>21962.57142857143</v>
      </c>
      <c r="H206" s="8" t="n">
        <v>112.32349171875</v>
      </c>
      <c r="I206" s="8" t="n">
        <v>6655.284974464286</v>
      </c>
      <c r="J206" s="8" t="n">
        <v>23671.55071067703</v>
      </c>
      <c r="K206" s="8" t="n">
        <v>0</v>
      </c>
      <c r="L206" s="8" t="n">
        <v>52401.7306054315</v>
      </c>
    </row>
    <row r="207">
      <c r="A207" t="inlineStr">
        <is>
          <t>S003-쪽파</t>
        </is>
      </c>
      <c r="B207" t="inlineStr">
        <is>
          <t>부산 사하구 농장</t>
        </is>
      </c>
      <c r="C207" t="inlineStr">
        <is>
          <t>쪽파</t>
        </is>
      </c>
      <c r="D207" t="inlineStr">
        <is>
          <t>12월</t>
        </is>
      </c>
      <c r="E207" s="12" t="n">
        <v>0</v>
      </c>
      <c r="F207" s="13" t="n">
        <v>0.55</v>
      </c>
      <c r="G207" s="8" t="n">
        <v>21962.57142857143</v>
      </c>
      <c r="H207" s="8" t="n">
        <v>172.805371875</v>
      </c>
      <c r="I207" s="8" t="n">
        <v>6493.999960714285</v>
      </c>
      <c r="J207" s="8" t="n">
        <v>23710.18286149952</v>
      </c>
      <c r="K207" s="8" t="n">
        <v>0</v>
      </c>
      <c r="L207" s="8" t="n">
        <v>52339.55962266024</v>
      </c>
    </row>
    <row r="208">
      <c r="A208" t="inlineStr">
        <is>
          <t>S003-병풀</t>
        </is>
      </c>
      <c r="B208" t="inlineStr">
        <is>
          <t>부산 사하구 농장</t>
        </is>
      </c>
      <c r="C208" t="inlineStr">
        <is>
          <t>병풀</t>
        </is>
      </c>
      <c r="D208" t="inlineStr">
        <is>
          <t>1월</t>
        </is>
      </c>
      <c r="E208" s="12" t="n">
        <v>-2</v>
      </c>
      <c r="F208" s="13" t="n">
        <v>0.55</v>
      </c>
      <c r="G208" s="8" t="n">
        <v>16471.92857142857</v>
      </c>
      <c r="H208" s="8" t="n">
        <v>336.97047515625</v>
      </c>
      <c r="I208" s="8" t="n">
        <v>4766.816747410715</v>
      </c>
      <c r="J208" s="8" t="n">
        <v>24878.82008686471</v>
      </c>
      <c r="K208" s="8" t="n">
        <v>0</v>
      </c>
      <c r="L208" s="8" t="n">
        <v>46454.53588086025</v>
      </c>
    </row>
    <row r="209">
      <c r="A209" t="inlineStr">
        <is>
          <t>S003-병풀</t>
        </is>
      </c>
      <c r="B209" t="inlineStr">
        <is>
          <t>부산 사하구 농장</t>
        </is>
      </c>
      <c r="C209" t="inlineStr">
        <is>
          <t>병풀</t>
        </is>
      </c>
      <c r="D209" t="inlineStr">
        <is>
          <t>2월</t>
        </is>
      </c>
      <c r="E209" s="12" t="n">
        <v>1</v>
      </c>
      <c r="F209" s="13" t="n">
        <v>0.52</v>
      </c>
      <c r="G209" s="8" t="n">
        <v>16471.92857142857</v>
      </c>
      <c r="H209" s="8" t="n">
        <v>298.089266484375</v>
      </c>
      <c r="I209" s="8" t="n">
        <v>4818.658358973214</v>
      </c>
      <c r="J209" s="8" t="n">
        <v>24860.92826496257</v>
      </c>
      <c r="K209" s="8" t="n">
        <v>0</v>
      </c>
      <c r="L209" s="8" t="n">
        <v>46449.60446184873</v>
      </c>
    </row>
    <row r="210">
      <c r="A210" t="inlineStr">
        <is>
          <t>S003-병풀</t>
        </is>
      </c>
      <c r="B210" t="inlineStr">
        <is>
          <t>부산 사하구 농장</t>
        </is>
      </c>
      <c r="C210" t="inlineStr">
        <is>
          <t>병풀</t>
        </is>
      </c>
      <c r="D210" t="inlineStr">
        <is>
          <t>3월</t>
        </is>
      </c>
      <c r="E210" s="12" t="n">
        <v>7</v>
      </c>
      <c r="F210" s="13" t="n">
        <v>0.55</v>
      </c>
      <c r="G210" s="8" t="n">
        <v>16471.92857142857</v>
      </c>
      <c r="H210" s="8" t="n">
        <v>220.326849140625</v>
      </c>
      <c r="I210" s="8" t="n">
        <v>4922.341582098214</v>
      </c>
      <c r="J210" s="8" t="n">
        <v>24854.84637284057</v>
      </c>
      <c r="K210" s="8" t="n">
        <v>0</v>
      </c>
      <c r="L210" s="8" t="n">
        <v>46469.44337550798</v>
      </c>
    </row>
    <row r="211">
      <c r="A211" t="inlineStr">
        <is>
          <t>S003-병풀</t>
        </is>
      </c>
      <c r="B211" t="inlineStr">
        <is>
          <t>부산 사하구 농장</t>
        </is>
      </c>
      <c r="C211" t="inlineStr">
        <is>
          <t>병풀</t>
        </is>
      </c>
      <c r="D211" t="inlineStr">
        <is>
          <t>4월</t>
        </is>
      </c>
      <c r="E211" s="12" t="n">
        <v>14</v>
      </c>
      <c r="F211" s="13" t="n">
        <v>0.58</v>
      </c>
      <c r="G211" s="8" t="n">
        <v>16471.92857142857</v>
      </c>
      <c r="H211" s="8" t="n">
        <v>129.60402890625</v>
      </c>
      <c r="I211" s="8" t="n">
        <v>5043.305342410714</v>
      </c>
      <c r="J211" s="8" t="n">
        <v>24881.34191158322</v>
      </c>
      <c r="K211" s="8" t="n">
        <v>0</v>
      </c>
      <c r="L211" s="8" t="n">
        <v>46526.17985432876</v>
      </c>
    </row>
    <row r="212">
      <c r="A212" t="inlineStr">
        <is>
          <t>S003-병풀</t>
        </is>
      </c>
      <c r="B212" t="inlineStr">
        <is>
          <t>부산 사하구 농장</t>
        </is>
      </c>
      <c r="C212" t="inlineStr">
        <is>
          <t>병풀</t>
        </is>
      </c>
      <c r="D212" t="inlineStr">
        <is>
          <t>5월</t>
        </is>
      </c>
      <c r="E212" s="12" t="n">
        <v>19</v>
      </c>
      <c r="F212" s="13" t="n">
        <v>0.65</v>
      </c>
      <c r="G212" s="8" t="n">
        <v>16471.92857142857</v>
      </c>
      <c r="H212" s="8" t="n">
        <v>64.802014453125</v>
      </c>
      <c r="I212" s="8" t="n">
        <v>5129.708028348214</v>
      </c>
      <c r="J212" s="8" t="n">
        <v>24961.63202258917</v>
      </c>
      <c r="K212" s="8" t="n">
        <v>0</v>
      </c>
      <c r="L212" s="8" t="n">
        <v>46628.07063681908</v>
      </c>
    </row>
    <row r="213">
      <c r="A213" t="inlineStr">
        <is>
          <t>S003-병풀</t>
        </is>
      </c>
      <c r="B213" t="inlineStr">
        <is>
          <t>부산 사하구 농장</t>
        </is>
      </c>
      <c r="C213" t="inlineStr">
        <is>
          <t>병풀</t>
        </is>
      </c>
      <c r="D213" t="inlineStr">
        <is>
          <t>6월</t>
        </is>
      </c>
      <c r="E213" s="12" t="n">
        <v>23</v>
      </c>
      <c r="F213" s="13" t="n">
        <v>0.72</v>
      </c>
      <c r="G213" s="8" t="n">
        <v>16471.92857142857</v>
      </c>
      <c r="H213" s="8" t="n">
        <v>12.960402890625</v>
      </c>
      <c r="I213" s="8" t="n">
        <v>5198.830177098214</v>
      </c>
      <c r="J213" s="8" t="n">
        <v>25075.62006120209</v>
      </c>
      <c r="K213" s="8" t="n">
        <v>0</v>
      </c>
      <c r="L213" s="8" t="n">
        <v>46759.33921261951</v>
      </c>
    </row>
    <row r="214">
      <c r="A214" t="inlineStr">
        <is>
          <t>S003-병풀</t>
        </is>
      </c>
      <c r="B214" t="inlineStr">
        <is>
          <t>부산 사하구 농장</t>
        </is>
      </c>
      <c r="C214" t="inlineStr">
        <is>
          <t>병풀</t>
        </is>
      </c>
      <c r="D214" t="inlineStr">
        <is>
          <t>7월</t>
        </is>
      </c>
      <c r="E214" s="12" t="n">
        <v>26</v>
      </c>
      <c r="F214" s="13" t="n">
        <v>0.78</v>
      </c>
      <c r="G214" s="8" t="n">
        <v>16471.92857142857</v>
      </c>
      <c r="H214" s="8" t="n">
        <v>0</v>
      </c>
      <c r="I214" s="8" t="n">
        <v>5285.232863035714</v>
      </c>
      <c r="J214" s="8" t="n">
        <v>25174.63519440779</v>
      </c>
      <c r="K214" s="8" t="n">
        <v>0</v>
      </c>
      <c r="L214" s="8" t="n">
        <v>46931.79662887208</v>
      </c>
    </row>
    <row r="215">
      <c r="A215" t="inlineStr">
        <is>
          <t>S003-병풀</t>
        </is>
      </c>
      <c r="B215" t="inlineStr">
        <is>
          <t>부산 사하구 농장</t>
        </is>
      </c>
      <c r="C215" t="inlineStr">
        <is>
          <t>병풀</t>
        </is>
      </c>
      <c r="D215" t="inlineStr">
        <is>
          <t>8월</t>
        </is>
      </c>
      <c r="E215" s="12" t="n">
        <v>27</v>
      </c>
      <c r="F215" s="13" t="n">
        <v>0.76</v>
      </c>
      <c r="G215" s="8" t="n">
        <v>16471.92857142857</v>
      </c>
      <c r="H215" s="8" t="n">
        <v>0</v>
      </c>
      <c r="I215" s="8" t="n">
        <v>5319.793937410715</v>
      </c>
      <c r="J215" s="8" t="n">
        <v>25172.3616112021</v>
      </c>
      <c r="K215" s="8" t="n">
        <v>0</v>
      </c>
      <c r="L215" s="8" t="n">
        <v>46964.08412004139</v>
      </c>
    </row>
    <row r="216">
      <c r="A216" t="inlineStr">
        <is>
          <t>S003-병풀</t>
        </is>
      </c>
      <c r="B216" t="inlineStr">
        <is>
          <t>부산 사하구 농장</t>
        </is>
      </c>
      <c r="C216" t="inlineStr">
        <is>
          <t>병풀</t>
        </is>
      </c>
      <c r="D216" t="inlineStr">
        <is>
          <t>9월</t>
        </is>
      </c>
      <c r="E216" s="12" t="n">
        <v>22</v>
      </c>
      <c r="F216" s="13" t="n">
        <v>0.7</v>
      </c>
      <c r="G216" s="8" t="n">
        <v>16471.92857142857</v>
      </c>
      <c r="H216" s="8" t="n">
        <v>25.92080578125</v>
      </c>
      <c r="I216" s="8" t="n">
        <v>5181.549639910713</v>
      </c>
      <c r="J216" s="8" t="n">
        <v>25041.07613164669</v>
      </c>
      <c r="K216" s="8" t="n">
        <v>0</v>
      </c>
      <c r="L216" s="8" t="n">
        <v>46720.47514876723</v>
      </c>
    </row>
    <row r="217">
      <c r="A217" t="inlineStr">
        <is>
          <t>S003-병풀</t>
        </is>
      </c>
      <c r="B217" t="inlineStr">
        <is>
          <t>부산 사하구 농장</t>
        </is>
      </c>
      <c r="C217" t="inlineStr">
        <is>
          <t>병풀</t>
        </is>
      </c>
      <c r="D217" t="inlineStr">
        <is>
          <t>10월</t>
        </is>
      </c>
      <c r="E217" s="12" t="n">
        <v>15</v>
      </c>
      <c r="F217" s="13" t="n">
        <v>0.62</v>
      </c>
      <c r="G217" s="8" t="n">
        <v>16471.92857142857</v>
      </c>
      <c r="H217" s="8" t="n">
        <v>116.643626015625</v>
      </c>
      <c r="I217" s="8" t="n">
        <v>5060.585879598214</v>
      </c>
      <c r="J217" s="8" t="n">
        <v>24906.23787400747</v>
      </c>
      <c r="K217" s="8" t="n">
        <v>0</v>
      </c>
      <c r="L217" s="8" t="n">
        <v>46555.39595104988</v>
      </c>
    </row>
    <row r="218">
      <c r="A218" t="inlineStr">
        <is>
          <t>S003-병풀</t>
        </is>
      </c>
      <c r="B218" t="inlineStr">
        <is>
          <t>부산 사하구 농장</t>
        </is>
      </c>
      <c r="C218" t="inlineStr">
        <is>
          <t>병풀</t>
        </is>
      </c>
      <c r="D218" t="inlineStr">
        <is>
          <t>11월</t>
        </is>
      </c>
      <c r="E218" s="12" t="n">
        <v>7</v>
      </c>
      <c r="F218" s="13" t="n">
        <v>0.58</v>
      </c>
      <c r="G218" s="8" t="n">
        <v>16471.92857142857</v>
      </c>
      <c r="H218" s="8" t="n">
        <v>220.326849140625</v>
      </c>
      <c r="I218" s="8" t="n">
        <v>4922.341582098214</v>
      </c>
      <c r="J218" s="8" t="n">
        <v>24863.58145460489</v>
      </c>
      <c r="K218" s="8" t="n">
        <v>0</v>
      </c>
      <c r="L218" s="8" t="n">
        <v>46478.1784572723</v>
      </c>
    </row>
    <row r="219">
      <c r="A219" t="inlineStr">
        <is>
          <t>S003-병풀</t>
        </is>
      </c>
      <c r="B219" t="inlineStr">
        <is>
          <t>부산 사하구 농장</t>
        </is>
      </c>
      <c r="C219" t="inlineStr">
        <is>
          <t>병풀</t>
        </is>
      </c>
      <c r="D219" t="inlineStr">
        <is>
          <t>12월</t>
        </is>
      </c>
      <c r="E219" s="12" t="n">
        <v>0</v>
      </c>
      <c r="F219" s="13" t="n">
        <v>0.55</v>
      </c>
      <c r="G219" s="8" t="n">
        <v>16471.92857142857</v>
      </c>
      <c r="H219" s="8" t="n">
        <v>311.049669375</v>
      </c>
      <c r="I219" s="8" t="n">
        <v>4801.377821785713</v>
      </c>
      <c r="J219" s="8" t="n">
        <v>24870.40179176104</v>
      </c>
      <c r="K219" s="8" t="n">
        <v>0</v>
      </c>
      <c r="L219" s="8" t="n">
        <v>46454.75785435033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2" customWidth="1" min="3" max="3"/>
    <col width="44" customWidth="1" min="4" max="4"/>
  </cols>
  <sheetData>
    <row r="1" ht="34" customHeight="1">
      <c r="A1" s="1" t="inlineStr">
        <is>
          <t>모델 기준 및 입력 파일</t>
        </is>
      </c>
    </row>
    <row r="2"/>
    <row r="3" ht="34" customHeight="1">
      <c r="A3" s="3" t="inlineStr">
        <is>
          <t>구분</t>
        </is>
      </c>
      <c r="B3" s="3" t="inlineStr">
        <is>
          <t>항목</t>
        </is>
      </c>
      <c r="C3" s="3" t="inlineStr">
        <is>
          <t>값</t>
        </is>
      </c>
      <c r="D3" s="3" t="inlineStr">
        <is>
          <t>설명</t>
        </is>
      </c>
    </row>
    <row r="4">
      <c r="A4" s="14" t="inlineStr">
        <is>
          <t>버전</t>
        </is>
      </c>
      <c r="B4" s="14" t="inlineStr">
        <is>
          <t>프로그램 버전</t>
        </is>
      </c>
      <c r="C4" s="14" t="inlineStr">
        <is>
          <t>1.0.1</t>
        </is>
      </c>
      <c r="D4" s="14" t="inlineStr">
        <is>
          <t>6개 작물 비교 및 현실화한 비용 산정 반영</t>
        </is>
      </c>
    </row>
    <row r="5">
      <c r="A5" s="14" t="inlineStr">
        <is>
          <t>시나리오</t>
        </is>
      </c>
      <c r="B5" s="14" t="inlineStr">
        <is>
          <t>조합 방식</t>
        </is>
      </c>
      <c r="C5" s="14" t="inlineStr">
        <is>
          <t>공간 × 작물</t>
        </is>
      </c>
      <c r="D5" s="14" t="inlineStr">
        <is>
          <t>모든 공간에 모든 작물을 각각 적용</t>
        </is>
      </c>
    </row>
    <row r="6">
      <c r="A6" s="14" t="inlineStr">
        <is>
          <t>공간</t>
        </is>
      </c>
      <c r="B6" s="14" t="inlineStr">
        <is>
          <t>재배가능 비율</t>
        </is>
      </c>
      <c r="C6" s="14" t="inlineStr">
        <is>
          <t>0.65</t>
        </is>
      </c>
      <c r="D6" s="14" t="inlineStr">
        <is>
          <t>space_info.csv 입력; 현재 모든 공간에 동일 적용</t>
        </is>
      </c>
    </row>
    <row r="7">
      <c r="A7" s="14" t="inlineStr">
        <is>
          <t>비용</t>
        </is>
      </c>
      <c r="B7" s="14" t="inlineStr">
        <is>
          <t>면적당 월 기기 대여비</t>
        </is>
      </c>
      <c r="C7" s="14" t="inlineStr">
        <is>
          <t>22,000 원/m²/month</t>
        </is>
      </c>
      <c r="D7" s="14" t="inlineStr">
        <is>
          <t>사용가능 바닥면적 기준</t>
        </is>
      </c>
    </row>
    <row r="8">
      <c r="A8" s="14" t="inlineStr">
        <is>
          <t>비용</t>
        </is>
      </c>
      <c r="B8" s="14" t="inlineStr">
        <is>
          <t>월 기타비용</t>
        </is>
      </c>
      <c r="C8" s="14" t="inlineStr">
        <is>
          <t>300,000 원/month</t>
        </is>
      </c>
      <c r="D8" s="14" t="inlineStr">
        <is>
          <t>standard_info.csv 공통값; 모든 시나리오에 월 1회 적용</t>
        </is>
      </c>
    </row>
    <row r="9">
      <c r="A9" s="14" t="inlineStr">
        <is>
          <t>수도</t>
        </is>
      </c>
      <c r="B9" s="14" t="inlineStr">
        <is>
          <t>배액률</t>
        </is>
      </c>
      <c r="C9" s="14" t="inlineStr">
        <is>
          <t>30%</t>
        </is>
      </c>
      <c r="D9" s="14" t="inlineStr">
        <is>
          <t>standard_info.csv 공통값; 모든 작물에 동일 적용</t>
        </is>
      </c>
    </row>
    <row r="10">
      <c r="A10" s="14" t="inlineStr">
        <is>
          <t>수도</t>
        </is>
      </c>
      <c r="B10" s="14" t="inlineStr">
        <is>
          <t>수도 종합단가</t>
        </is>
      </c>
      <c r="C10" s="14" t="inlineStr">
        <is>
          <t>2,300 원/m³</t>
        </is>
      </c>
      <c r="D10" s="14" t="inlineStr">
        <is>
          <t>standard_info.csv 입력</t>
        </is>
      </c>
    </row>
    <row r="11">
      <c r="A11" s="14" t="inlineStr">
        <is>
          <t>수익</t>
        </is>
      </c>
      <c r="B11" s="14" t="inlineStr">
        <is>
          <t>공간 대여자 배분비율</t>
        </is>
      </c>
      <c r="C11" s="14" t="inlineStr">
        <is>
          <t>0.8</t>
        </is>
      </c>
      <c r="D11" s="14" t="inlineStr">
        <is>
          <t>contraction_info.csv 입력</t>
        </is>
      </c>
    </row>
    <row r="12">
      <c r="A12" s="14" t="inlineStr">
        <is>
          <t>재료비</t>
        </is>
      </c>
      <c r="B12" s="14" t="inlineStr">
        <is>
          <t>모종비 적용 기준</t>
        </is>
      </c>
      <c r="C12" s="14" t="inlineStr">
        <is>
          <t>기존 1회 단가의 1/3을 매월 적용</t>
        </is>
      </c>
      <c r="D12" s="14" t="inlineStr">
        <is>
          <t>기존 단가로 연 4회 구입하는 것과 같은 연간 비용</t>
        </is>
      </c>
    </row>
    <row r="13">
      <c r="A13" s="14" t="inlineStr">
        <is>
          <t>재료비</t>
        </is>
      </c>
      <c r="B13" s="14" t="inlineStr">
        <is>
          <t>양액 단가</t>
        </is>
      </c>
      <c r="C13" s="14" t="inlineStr">
        <is>
          <t>20 원/L</t>
        </is>
      </c>
      <c r="D13" s="14" t="inlineStr">
        <is>
          <t>standard_info.csv 입력</t>
        </is>
      </c>
    </row>
    <row r="14" ht="38" customHeight="1">
      <c r="A14" s="14" t="inlineStr">
        <is>
          <t>재료비</t>
        </is>
      </c>
      <c r="B14" s="14" t="inlineStr">
        <is>
          <t>양액량 기준</t>
        </is>
      </c>
      <c r="C14" s="14" t="inlineStr">
        <is>
          <t>배액 포함 월 작물 관수량</t>
        </is>
      </c>
      <c r="D14" s="14" t="inlineStr">
        <is>
          <t>water_result의 monthly_crop_irrigation_l 재사용; 기타 용수 제외</t>
        </is>
      </c>
    </row>
    <row r="15" ht="38" customHeight="1">
      <c r="A15" s="14" t="inlineStr">
        <is>
          <t>추천</t>
        </is>
      </c>
      <c r="B15" s="14" t="inlineStr">
        <is>
          <t>장기계약형</t>
        </is>
      </c>
      <c r="C15" s="14" t="inlineStr">
        <is>
          <t>예상수익 ≥ 원하는 월세</t>
        </is>
      </c>
      <c r="D15" s="14" t="inlineStr">
        <is>
          <t>두 금액이 같아도 장기계약형</t>
        </is>
      </c>
    </row>
    <row r="16">
      <c r="A16" s="14" t="inlineStr">
        <is>
          <t>추천</t>
        </is>
      </c>
      <c r="B16" s="14" t="inlineStr">
        <is>
          <t>단기계약형</t>
        </is>
      </c>
      <c r="C16" s="14" t="inlineStr">
        <is>
          <t>적자 또는 예상수익 &lt; 원하는 월세</t>
        </is>
      </c>
      <c r="D16" s="14" t="inlineStr">
        <is>
          <t>적자 금액은 그대로 출력</t>
        </is>
      </c>
    </row>
    <row r="17">
      <c r="A17" s="14" t="inlineStr">
        <is>
          <t>입력 파일</t>
        </is>
      </c>
      <c r="B17" s="14" t="inlineStr">
        <is>
          <t>공간정보</t>
        </is>
      </c>
      <c r="C17" s="14" t="inlineStr">
        <is>
          <t>data/space_info.csv</t>
        </is>
      </c>
      <c r="D17" s="14" t="inlineStr">
        <is>
          <t>사업장별 원하는 월세 포함</t>
        </is>
      </c>
    </row>
    <row r="18">
      <c r="A18" s="14" t="inlineStr">
        <is>
          <t>입력 파일</t>
        </is>
      </c>
      <c r="B18" s="14" t="inlineStr">
        <is>
          <t>작물 생산정보</t>
        </is>
      </c>
      <c r="C18" s="14" t="inlineStr">
        <is>
          <t>data/crop_production_info.csv</t>
        </is>
      </c>
      <c r="D18" s="14" t="inlineStr">
        <is>
          <t>상추·딸기·바질·애플민트·쪽파·병풀 및 작물별 모듈 층 수</t>
        </is>
      </c>
    </row>
    <row r="19">
      <c r="A19" s="14" t="inlineStr">
        <is>
          <t>작물</t>
        </is>
      </c>
      <c r="B19" s="14" t="inlineStr">
        <is>
          <t>작물별 모듈 층 수</t>
        </is>
      </c>
      <c r="C19" s="14" t="inlineStr">
        <is>
          <t>상추 4층 · 딸기 2층 · 바질 3층 · 애플민트 4층 · 쪽파 3층 · 병풀 3층</t>
        </is>
      </c>
      <c r="D19" s="14" t="inlineStr">
        <is>
          <t>crop_production_info.csv 입력</t>
        </is>
      </c>
    </row>
    <row r="20">
      <c r="A20" s="14" t="inlineStr">
        <is>
          <t>입력 파일</t>
        </is>
      </c>
      <c r="B20" s="14" t="inlineStr">
        <is>
          <t>작물 판매정보</t>
        </is>
      </c>
      <c r="C20" s="14" t="inlineStr">
        <is>
          <t>data/crop_sale_info.csv</t>
        </is>
      </c>
      <c r="D20" s="14" t="inlineStr">
        <is>
          <t>작물별 kg당 판매가격</t>
        </is>
      </c>
    </row>
    <row r="21">
      <c r="A21" s="14" t="inlineStr">
        <is>
          <t>주의</t>
        </is>
      </c>
      <c r="B21" s="14" t="inlineStr">
        <is>
          <t>18개 결과 합산</t>
        </is>
      </c>
      <c r="C21" s="14" t="inlineStr">
        <is>
          <t>비교용</t>
        </is>
      </c>
      <c r="D21" s="14" t="inlineStr">
        <is>
          <t>같은 공간의 대안 작물을 동시에 운영한 합계가 아님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13" customWidth="1" min="3" max="3"/>
    <col width="50" customWidth="1" min="4" max="4"/>
    <col width="10" customWidth="1" min="5" max="5"/>
    <col width="10" customWidth="1" min="6" max="6"/>
    <col width="34" customWidth="1" min="7" max="7"/>
  </cols>
  <sheetData>
    <row r="1" ht="34" customHeight="1">
      <c r="A1" s="1" t="inlineStr">
        <is>
          <t>계산 결과 검증</t>
        </is>
      </c>
    </row>
    <row r="2">
      <c r="A2" s="2" t="inlineStr">
        <is>
          <t>MODEL STATUS</t>
        </is>
      </c>
      <c r="B2" s="15">
        <f>IF(COUNTIF(G5:G58,"FAIL")=0,"PASS","FAIL")</f>
        <v/>
      </c>
    </row>
    <row r="3"/>
    <row r="4" ht="34" customHeight="1">
      <c r="A4" s="3" t="inlineStr">
        <is>
          <t>시나리오ID</t>
        </is>
      </c>
      <c r="B4" s="3" t="inlineStr">
        <is>
          <t>검증 항목</t>
        </is>
      </c>
      <c r="C4" s="3" t="inlineStr">
        <is>
          <t>실제값</t>
        </is>
      </c>
      <c r="D4" s="3" t="inlineStr">
        <is>
          <t>기대값</t>
        </is>
      </c>
      <c r="E4" s="3" t="inlineStr">
        <is>
          <t>차이</t>
        </is>
      </c>
      <c r="F4" s="3" t="inlineStr">
        <is>
          <t>허용오차</t>
        </is>
      </c>
      <c r="G4" s="3" t="inlineStr">
        <is>
          <t>상태</t>
        </is>
      </c>
    </row>
    <row r="5">
      <c r="A5" t="inlineStr">
        <is>
          <t>S001-상추</t>
        </is>
      </c>
      <c r="B5" t="inlineStr">
        <is>
          <t>월 영업이익 = 공간 대여자 예상수익 + 사업장 영업이익</t>
        </is>
      </c>
      <c r="C5" s="8">
        <f>'요약'!Y5</f>
        <v/>
      </c>
      <c r="D5" s="8">
        <f>'요약'!AA5+'요약'!AC5</f>
        <v/>
      </c>
      <c r="E5" s="8">
        <f>C5-D5</f>
        <v/>
      </c>
      <c r="F5" s="8" t="n">
        <v>0.5</v>
      </c>
      <c r="G5">
        <f>IF(ABS(E5)&lt;=F5,"PASS","FAIL")</f>
        <v/>
      </c>
    </row>
    <row r="6">
      <c r="A6" t="inlineStr">
        <is>
          <t>S001-상추</t>
        </is>
      </c>
      <c r="B6" t="inlineStr">
        <is>
          <t>월 총 용수량 = 작물 순소비량 + 배액량 + 기타 용수량</t>
        </is>
      </c>
      <c r="C6" s="16">
        <f>'요약'!R5</f>
        <v/>
      </c>
      <c r="D6" s="16">
        <f>'요약'!O5+'요약'!P5+'요약'!Q5</f>
        <v/>
      </c>
      <c r="E6" s="16">
        <f>C6-D6</f>
        <v/>
      </c>
      <c r="F6" s="16" t="n">
        <v>0.001</v>
      </c>
      <c r="G6">
        <f>IF(ABS(E6)&lt;=F6,"PASS","FAIL")</f>
        <v/>
      </c>
    </row>
    <row r="7">
      <c r="A7" t="inlineStr">
        <is>
          <t>S001-상추</t>
        </is>
      </c>
      <c r="B7" t="inlineStr">
        <is>
          <t>월 운영비 = 전기비 + 수도비 + 재료비 + 인건비 + 기기 대여비 + 기타비용</t>
        </is>
      </c>
      <c r="C7" s="8">
        <f>'비용구성'!D5</f>
        <v/>
      </c>
      <c r="D7" s="8">
        <f>'비용구성'!E5+'비용구성'!G5+'비용구성'!I5+'비용구성'!K5+'비용구성'!M5+'비용구성'!O5</f>
        <v/>
      </c>
      <c r="E7" s="8">
        <f>C7-D7</f>
        <v/>
      </c>
      <c r="F7" s="8" t="n">
        <v>0.5</v>
      </c>
      <c r="G7">
        <f>IF(ABS(E7)&lt;=F7,"PASS","FAIL")</f>
        <v/>
      </c>
    </row>
    <row r="8">
      <c r="A8" t="inlineStr">
        <is>
          <t>S001-딸기</t>
        </is>
      </c>
      <c r="B8" t="inlineStr">
        <is>
          <t>월 영업이익 = 공간 대여자 예상수익 + 사업장 영업이익</t>
        </is>
      </c>
      <c r="C8" s="8">
        <f>'요약'!Y6</f>
        <v/>
      </c>
      <c r="D8" s="8">
        <f>'요약'!AA6+'요약'!AC6</f>
        <v/>
      </c>
      <c r="E8" s="8">
        <f>C8-D8</f>
        <v/>
      </c>
      <c r="F8" s="8" t="n">
        <v>0.5</v>
      </c>
      <c r="G8">
        <f>IF(ABS(E8)&lt;=F8,"PASS","FAIL")</f>
        <v/>
      </c>
    </row>
    <row r="9">
      <c r="A9" t="inlineStr">
        <is>
          <t>S001-딸기</t>
        </is>
      </c>
      <c r="B9" t="inlineStr">
        <is>
          <t>월 총 용수량 = 작물 순소비량 + 배액량 + 기타 용수량</t>
        </is>
      </c>
      <c r="C9" s="16">
        <f>'요약'!R6</f>
        <v/>
      </c>
      <c r="D9" s="16">
        <f>'요약'!O6+'요약'!P6+'요약'!Q6</f>
        <v/>
      </c>
      <c r="E9" s="16">
        <f>C9-D9</f>
        <v/>
      </c>
      <c r="F9" s="16" t="n">
        <v>0.001</v>
      </c>
      <c r="G9">
        <f>IF(ABS(E9)&lt;=F9,"PASS","FAIL")</f>
        <v/>
      </c>
    </row>
    <row r="10">
      <c r="A10" t="inlineStr">
        <is>
          <t>S001-딸기</t>
        </is>
      </c>
      <c r="B10" t="inlineStr">
        <is>
          <t>월 운영비 = 전기비 + 수도비 + 재료비 + 인건비 + 기기 대여비 + 기타비용</t>
        </is>
      </c>
      <c r="C10" s="8">
        <f>'비용구성'!D6</f>
        <v/>
      </c>
      <c r="D10" s="8">
        <f>'비용구성'!E6+'비용구성'!G6+'비용구성'!I6+'비용구성'!K6+'비용구성'!M6+'비용구성'!O6</f>
        <v/>
      </c>
      <c r="E10" s="8">
        <f>C10-D10</f>
        <v/>
      </c>
      <c r="F10" s="8" t="n">
        <v>0.5</v>
      </c>
      <c r="G10">
        <f>IF(ABS(E10)&lt;=F10,"PASS","FAIL")</f>
        <v/>
      </c>
    </row>
    <row r="11">
      <c r="A11" t="inlineStr">
        <is>
          <t>S001-바질</t>
        </is>
      </c>
      <c r="B11" t="inlineStr">
        <is>
          <t>월 영업이익 = 공간 대여자 예상수익 + 사업장 영업이익</t>
        </is>
      </c>
      <c r="C11" s="8">
        <f>'요약'!Y7</f>
        <v/>
      </c>
      <c r="D11" s="8">
        <f>'요약'!AA7+'요약'!AC7</f>
        <v/>
      </c>
      <c r="E11" s="8">
        <f>C11-D11</f>
        <v/>
      </c>
      <c r="F11" s="8" t="n">
        <v>0.5</v>
      </c>
      <c r="G11">
        <f>IF(ABS(E11)&lt;=F11,"PASS","FAIL")</f>
        <v/>
      </c>
    </row>
    <row r="12">
      <c r="A12" t="inlineStr">
        <is>
          <t>S001-바질</t>
        </is>
      </c>
      <c r="B12" t="inlineStr">
        <is>
          <t>월 총 용수량 = 작물 순소비량 + 배액량 + 기타 용수량</t>
        </is>
      </c>
      <c r="C12" s="16">
        <f>'요약'!R7</f>
        <v/>
      </c>
      <c r="D12" s="16">
        <f>'요약'!O7+'요약'!P7+'요약'!Q7</f>
        <v/>
      </c>
      <c r="E12" s="16">
        <f>C12-D12</f>
        <v/>
      </c>
      <c r="F12" s="16" t="n">
        <v>0.001</v>
      </c>
      <c r="G12">
        <f>IF(ABS(E12)&lt;=F12,"PASS","FAIL")</f>
        <v/>
      </c>
    </row>
    <row r="13">
      <c r="A13" t="inlineStr">
        <is>
          <t>S001-바질</t>
        </is>
      </c>
      <c r="B13" t="inlineStr">
        <is>
          <t>월 운영비 = 전기비 + 수도비 + 재료비 + 인건비 + 기기 대여비 + 기타비용</t>
        </is>
      </c>
      <c r="C13" s="8">
        <f>'비용구성'!D7</f>
        <v/>
      </c>
      <c r="D13" s="8">
        <f>'비용구성'!E7+'비용구성'!G7+'비용구성'!I7+'비용구성'!K7+'비용구성'!M7+'비용구성'!O7</f>
        <v/>
      </c>
      <c r="E13" s="8">
        <f>C13-D13</f>
        <v/>
      </c>
      <c r="F13" s="8" t="n">
        <v>0.5</v>
      </c>
      <c r="G13">
        <f>IF(ABS(E13)&lt;=F13,"PASS","FAIL")</f>
        <v/>
      </c>
    </row>
    <row r="14">
      <c r="A14" t="inlineStr">
        <is>
          <t>S001-애플민트</t>
        </is>
      </c>
      <c r="B14" t="inlineStr">
        <is>
          <t>월 영업이익 = 공간 대여자 예상수익 + 사업장 영업이익</t>
        </is>
      </c>
      <c r="C14" s="8">
        <f>'요약'!Y8</f>
        <v/>
      </c>
      <c r="D14" s="8">
        <f>'요약'!AA8+'요약'!AC8</f>
        <v/>
      </c>
      <c r="E14" s="8">
        <f>C14-D14</f>
        <v/>
      </c>
      <c r="F14" s="8" t="n">
        <v>0.5</v>
      </c>
      <c r="G14">
        <f>IF(ABS(E14)&lt;=F14,"PASS","FAIL")</f>
        <v/>
      </c>
    </row>
    <row r="15">
      <c r="A15" t="inlineStr">
        <is>
          <t>S001-애플민트</t>
        </is>
      </c>
      <c r="B15" t="inlineStr">
        <is>
          <t>월 총 용수량 = 작물 순소비량 + 배액량 + 기타 용수량</t>
        </is>
      </c>
      <c r="C15" s="16">
        <f>'요약'!R8</f>
        <v/>
      </c>
      <c r="D15" s="16">
        <f>'요약'!O8+'요약'!P8+'요약'!Q8</f>
        <v/>
      </c>
      <c r="E15" s="16">
        <f>C15-D15</f>
        <v/>
      </c>
      <c r="F15" s="16" t="n">
        <v>0.001</v>
      </c>
      <c r="G15">
        <f>IF(ABS(E15)&lt;=F15,"PASS","FAIL")</f>
        <v/>
      </c>
    </row>
    <row r="16">
      <c r="A16" t="inlineStr">
        <is>
          <t>S001-애플민트</t>
        </is>
      </c>
      <c r="B16" t="inlineStr">
        <is>
          <t>월 운영비 = 전기비 + 수도비 + 재료비 + 인건비 + 기기 대여비 + 기타비용</t>
        </is>
      </c>
      <c r="C16" s="8">
        <f>'비용구성'!D8</f>
        <v/>
      </c>
      <c r="D16" s="8">
        <f>'비용구성'!E8+'비용구성'!G8+'비용구성'!I8+'비용구성'!K8+'비용구성'!M8+'비용구성'!O8</f>
        <v/>
      </c>
      <c r="E16" s="8">
        <f>C16-D16</f>
        <v/>
      </c>
      <c r="F16" s="8" t="n">
        <v>0.5</v>
      </c>
      <c r="G16">
        <f>IF(ABS(E16)&lt;=F16,"PASS","FAIL")</f>
        <v/>
      </c>
    </row>
    <row r="17">
      <c r="A17" t="inlineStr">
        <is>
          <t>S001-쪽파</t>
        </is>
      </c>
      <c r="B17" t="inlineStr">
        <is>
          <t>월 영업이익 = 공간 대여자 예상수익 + 사업장 영업이익</t>
        </is>
      </c>
      <c r="C17" s="8">
        <f>'요약'!Y9</f>
        <v/>
      </c>
      <c r="D17" s="8">
        <f>'요약'!AA9+'요약'!AC9</f>
        <v/>
      </c>
      <c r="E17" s="8">
        <f>C17-D17</f>
        <v/>
      </c>
      <c r="F17" s="8" t="n">
        <v>0.5</v>
      </c>
      <c r="G17">
        <f>IF(ABS(E17)&lt;=F17,"PASS","FAIL")</f>
        <v/>
      </c>
    </row>
    <row r="18">
      <c r="A18" t="inlineStr">
        <is>
          <t>S001-쪽파</t>
        </is>
      </c>
      <c r="B18" t="inlineStr">
        <is>
          <t>월 총 용수량 = 작물 순소비량 + 배액량 + 기타 용수량</t>
        </is>
      </c>
      <c r="C18" s="16">
        <f>'요약'!R9</f>
        <v/>
      </c>
      <c r="D18" s="16">
        <f>'요약'!O9+'요약'!P9+'요약'!Q9</f>
        <v/>
      </c>
      <c r="E18" s="16">
        <f>C18-D18</f>
        <v/>
      </c>
      <c r="F18" s="16" t="n">
        <v>0.001</v>
      </c>
      <c r="G18">
        <f>IF(ABS(E18)&lt;=F18,"PASS","FAIL")</f>
        <v/>
      </c>
    </row>
    <row r="19">
      <c r="A19" t="inlineStr">
        <is>
          <t>S001-쪽파</t>
        </is>
      </c>
      <c r="B19" t="inlineStr">
        <is>
          <t>월 운영비 = 전기비 + 수도비 + 재료비 + 인건비 + 기기 대여비 + 기타비용</t>
        </is>
      </c>
      <c r="C19" s="8">
        <f>'비용구성'!D9</f>
        <v/>
      </c>
      <c r="D19" s="8">
        <f>'비용구성'!E9+'비용구성'!G9+'비용구성'!I9+'비용구성'!K9+'비용구성'!M9+'비용구성'!O9</f>
        <v/>
      </c>
      <c r="E19" s="8">
        <f>C19-D19</f>
        <v/>
      </c>
      <c r="F19" s="8" t="n">
        <v>0.5</v>
      </c>
      <c r="G19">
        <f>IF(ABS(E19)&lt;=F19,"PASS","FAIL")</f>
        <v/>
      </c>
    </row>
    <row r="20">
      <c r="A20" t="inlineStr">
        <is>
          <t>S001-병풀</t>
        </is>
      </c>
      <c r="B20" t="inlineStr">
        <is>
          <t>월 영업이익 = 공간 대여자 예상수익 + 사업장 영업이익</t>
        </is>
      </c>
      <c r="C20" s="8">
        <f>'요약'!Y10</f>
        <v/>
      </c>
      <c r="D20" s="8">
        <f>'요약'!AA10+'요약'!AC10</f>
        <v/>
      </c>
      <c r="E20" s="8">
        <f>C20-D20</f>
        <v/>
      </c>
      <c r="F20" s="8" t="n">
        <v>0.5</v>
      </c>
      <c r="G20">
        <f>IF(ABS(E20)&lt;=F20,"PASS","FAIL")</f>
        <v/>
      </c>
    </row>
    <row r="21">
      <c r="A21" t="inlineStr">
        <is>
          <t>S001-병풀</t>
        </is>
      </c>
      <c r="B21" t="inlineStr">
        <is>
          <t>월 총 용수량 = 작물 순소비량 + 배액량 + 기타 용수량</t>
        </is>
      </c>
      <c r="C21" s="16">
        <f>'요약'!R10</f>
        <v/>
      </c>
      <c r="D21" s="16">
        <f>'요약'!O10+'요약'!P10+'요약'!Q10</f>
        <v/>
      </c>
      <c r="E21" s="16">
        <f>C21-D21</f>
        <v/>
      </c>
      <c r="F21" s="16" t="n">
        <v>0.001</v>
      </c>
      <c r="G21">
        <f>IF(ABS(E21)&lt;=F21,"PASS","FAIL")</f>
        <v/>
      </c>
    </row>
    <row r="22">
      <c r="A22" t="inlineStr">
        <is>
          <t>S001-병풀</t>
        </is>
      </c>
      <c r="B22" t="inlineStr">
        <is>
          <t>월 운영비 = 전기비 + 수도비 + 재료비 + 인건비 + 기기 대여비 + 기타비용</t>
        </is>
      </c>
      <c r="C22" s="8">
        <f>'비용구성'!D10</f>
        <v/>
      </c>
      <c r="D22" s="8">
        <f>'비용구성'!E10+'비용구성'!G10+'비용구성'!I10+'비용구성'!K10+'비용구성'!M10+'비용구성'!O10</f>
        <v/>
      </c>
      <c r="E22" s="8">
        <f>C22-D22</f>
        <v/>
      </c>
      <c r="F22" s="8" t="n">
        <v>0.5</v>
      </c>
      <c r="G22">
        <f>IF(ABS(E22)&lt;=F22,"PASS","FAIL")</f>
        <v/>
      </c>
    </row>
    <row r="23">
      <c r="A23" t="inlineStr">
        <is>
          <t>S002-상추</t>
        </is>
      </c>
      <c r="B23" t="inlineStr">
        <is>
          <t>월 영업이익 = 공간 대여자 예상수익 + 사업장 영업이익</t>
        </is>
      </c>
      <c r="C23" s="8">
        <f>'요약'!Y11</f>
        <v/>
      </c>
      <c r="D23" s="8">
        <f>'요약'!AA11+'요약'!AC11</f>
        <v/>
      </c>
      <c r="E23" s="8">
        <f>C23-D23</f>
        <v/>
      </c>
      <c r="F23" s="8" t="n">
        <v>0.5</v>
      </c>
      <c r="G23">
        <f>IF(ABS(E23)&lt;=F23,"PASS","FAIL")</f>
        <v/>
      </c>
    </row>
    <row r="24">
      <c r="A24" t="inlineStr">
        <is>
          <t>S002-상추</t>
        </is>
      </c>
      <c r="B24" t="inlineStr">
        <is>
          <t>월 총 용수량 = 작물 순소비량 + 배액량 + 기타 용수량</t>
        </is>
      </c>
      <c r="C24" s="16">
        <f>'요약'!R11</f>
        <v/>
      </c>
      <c r="D24" s="16">
        <f>'요약'!O11+'요약'!P11+'요약'!Q11</f>
        <v/>
      </c>
      <c r="E24" s="16">
        <f>C24-D24</f>
        <v/>
      </c>
      <c r="F24" s="16" t="n">
        <v>0.001</v>
      </c>
      <c r="G24">
        <f>IF(ABS(E24)&lt;=F24,"PASS","FAIL")</f>
        <v/>
      </c>
    </row>
    <row r="25">
      <c r="A25" t="inlineStr">
        <is>
          <t>S002-상추</t>
        </is>
      </c>
      <c r="B25" t="inlineStr">
        <is>
          <t>월 운영비 = 전기비 + 수도비 + 재료비 + 인건비 + 기기 대여비 + 기타비용</t>
        </is>
      </c>
      <c r="C25" s="8">
        <f>'비용구성'!D11</f>
        <v/>
      </c>
      <c r="D25" s="8">
        <f>'비용구성'!E11+'비용구성'!G11+'비용구성'!I11+'비용구성'!K11+'비용구성'!M11+'비용구성'!O11</f>
        <v/>
      </c>
      <c r="E25" s="8">
        <f>C25-D25</f>
        <v/>
      </c>
      <c r="F25" s="8" t="n">
        <v>0.5</v>
      </c>
      <c r="G25">
        <f>IF(ABS(E25)&lt;=F25,"PASS","FAIL")</f>
        <v/>
      </c>
    </row>
    <row r="26">
      <c r="A26" t="inlineStr">
        <is>
          <t>S002-딸기</t>
        </is>
      </c>
      <c r="B26" t="inlineStr">
        <is>
          <t>월 영업이익 = 공간 대여자 예상수익 + 사업장 영업이익</t>
        </is>
      </c>
      <c r="C26" s="8">
        <f>'요약'!Y12</f>
        <v/>
      </c>
      <c r="D26" s="8">
        <f>'요약'!AA12+'요약'!AC12</f>
        <v/>
      </c>
      <c r="E26" s="8">
        <f>C26-D26</f>
        <v/>
      </c>
      <c r="F26" s="8" t="n">
        <v>0.5</v>
      </c>
      <c r="G26">
        <f>IF(ABS(E26)&lt;=F26,"PASS","FAIL")</f>
        <v/>
      </c>
    </row>
    <row r="27">
      <c r="A27" t="inlineStr">
        <is>
          <t>S002-딸기</t>
        </is>
      </c>
      <c r="B27" t="inlineStr">
        <is>
          <t>월 총 용수량 = 작물 순소비량 + 배액량 + 기타 용수량</t>
        </is>
      </c>
      <c r="C27" s="16">
        <f>'요약'!R12</f>
        <v/>
      </c>
      <c r="D27" s="16">
        <f>'요약'!O12+'요약'!P12+'요약'!Q12</f>
        <v/>
      </c>
      <c r="E27" s="16">
        <f>C27-D27</f>
        <v/>
      </c>
      <c r="F27" s="16" t="n">
        <v>0.001</v>
      </c>
      <c r="G27">
        <f>IF(ABS(E27)&lt;=F27,"PASS","FAIL")</f>
        <v/>
      </c>
    </row>
    <row r="28">
      <c r="A28" t="inlineStr">
        <is>
          <t>S002-딸기</t>
        </is>
      </c>
      <c r="B28" t="inlineStr">
        <is>
          <t>월 운영비 = 전기비 + 수도비 + 재료비 + 인건비 + 기기 대여비 + 기타비용</t>
        </is>
      </c>
      <c r="C28" s="8">
        <f>'비용구성'!D12</f>
        <v/>
      </c>
      <c r="D28" s="8">
        <f>'비용구성'!E12+'비용구성'!G12+'비용구성'!I12+'비용구성'!K12+'비용구성'!M12+'비용구성'!O12</f>
        <v/>
      </c>
      <c r="E28" s="8">
        <f>C28-D28</f>
        <v/>
      </c>
      <c r="F28" s="8" t="n">
        <v>0.5</v>
      </c>
      <c r="G28">
        <f>IF(ABS(E28)&lt;=F28,"PASS","FAIL")</f>
        <v/>
      </c>
    </row>
    <row r="29">
      <c r="A29" t="inlineStr">
        <is>
          <t>S002-바질</t>
        </is>
      </c>
      <c r="B29" t="inlineStr">
        <is>
          <t>월 영업이익 = 공간 대여자 예상수익 + 사업장 영업이익</t>
        </is>
      </c>
      <c r="C29" s="8">
        <f>'요약'!Y13</f>
        <v/>
      </c>
      <c r="D29" s="8">
        <f>'요약'!AA13+'요약'!AC13</f>
        <v/>
      </c>
      <c r="E29" s="8">
        <f>C29-D29</f>
        <v/>
      </c>
      <c r="F29" s="8" t="n">
        <v>0.5</v>
      </c>
      <c r="G29">
        <f>IF(ABS(E29)&lt;=F29,"PASS","FAIL")</f>
        <v/>
      </c>
    </row>
    <row r="30">
      <c r="A30" t="inlineStr">
        <is>
          <t>S002-바질</t>
        </is>
      </c>
      <c r="B30" t="inlineStr">
        <is>
          <t>월 총 용수량 = 작물 순소비량 + 배액량 + 기타 용수량</t>
        </is>
      </c>
      <c r="C30" s="16">
        <f>'요약'!R13</f>
        <v/>
      </c>
      <c r="D30" s="16">
        <f>'요약'!O13+'요약'!P13+'요약'!Q13</f>
        <v/>
      </c>
      <c r="E30" s="16">
        <f>C30-D30</f>
        <v/>
      </c>
      <c r="F30" s="16" t="n">
        <v>0.001</v>
      </c>
      <c r="G30">
        <f>IF(ABS(E30)&lt;=F30,"PASS","FAIL")</f>
        <v/>
      </c>
    </row>
    <row r="31">
      <c r="A31" t="inlineStr">
        <is>
          <t>S002-바질</t>
        </is>
      </c>
      <c r="B31" t="inlineStr">
        <is>
          <t>월 운영비 = 전기비 + 수도비 + 재료비 + 인건비 + 기기 대여비 + 기타비용</t>
        </is>
      </c>
      <c r="C31" s="8">
        <f>'비용구성'!D13</f>
        <v/>
      </c>
      <c r="D31" s="8">
        <f>'비용구성'!E13+'비용구성'!G13+'비용구성'!I13+'비용구성'!K13+'비용구성'!M13+'비용구성'!O13</f>
        <v/>
      </c>
      <c r="E31" s="8">
        <f>C31-D31</f>
        <v/>
      </c>
      <c r="F31" s="8" t="n">
        <v>0.5</v>
      </c>
      <c r="G31">
        <f>IF(ABS(E31)&lt;=F31,"PASS","FAIL")</f>
        <v/>
      </c>
    </row>
    <row r="32">
      <c r="A32" t="inlineStr">
        <is>
          <t>S002-애플민트</t>
        </is>
      </c>
      <c r="B32" t="inlineStr">
        <is>
          <t>월 영업이익 = 공간 대여자 예상수익 + 사업장 영업이익</t>
        </is>
      </c>
      <c r="C32" s="8">
        <f>'요약'!Y14</f>
        <v/>
      </c>
      <c r="D32" s="8">
        <f>'요약'!AA14+'요약'!AC14</f>
        <v/>
      </c>
      <c r="E32" s="8">
        <f>C32-D32</f>
        <v/>
      </c>
      <c r="F32" s="8" t="n">
        <v>0.5</v>
      </c>
      <c r="G32">
        <f>IF(ABS(E32)&lt;=F32,"PASS","FAIL")</f>
        <v/>
      </c>
    </row>
    <row r="33">
      <c r="A33" t="inlineStr">
        <is>
          <t>S002-애플민트</t>
        </is>
      </c>
      <c r="B33" t="inlineStr">
        <is>
          <t>월 총 용수량 = 작물 순소비량 + 배액량 + 기타 용수량</t>
        </is>
      </c>
      <c r="C33" s="16">
        <f>'요약'!R14</f>
        <v/>
      </c>
      <c r="D33" s="16">
        <f>'요약'!O14+'요약'!P14+'요약'!Q14</f>
        <v/>
      </c>
      <c r="E33" s="16">
        <f>C33-D33</f>
        <v/>
      </c>
      <c r="F33" s="16" t="n">
        <v>0.001</v>
      </c>
      <c r="G33">
        <f>IF(ABS(E33)&lt;=F33,"PASS","FAIL")</f>
        <v/>
      </c>
    </row>
    <row r="34">
      <c r="A34" t="inlineStr">
        <is>
          <t>S002-애플민트</t>
        </is>
      </c>
      <c r="B34" t="inlineStr">
        <is>
          <t>월 운영비 = 전기비 + 수도비 + 재료비 + 인건비 + 기기 대여비 + 기타비용</t>
        </is>
      </c>
      <c r="C34" s="8">
        <f>'비용구성'!D14</f>
        <v/>
      </c>
      <c r="D34" s="8">
        <f>'비용구성'!E14+'비용구성'!G14+'비용구성'!I14+'비용구성'!K14+'비용구성'!M14+'비용구성'!O14</f>
        <v/>
      </c>
      <c r="E34" s="8">
        <f>C34-D34</f>
        <v/>
      </c>
      <c r="F34" s="8" t="n">
        <v>0.5</v>
      </c>
      <c r="G34">
        <f>IF(ABS(E34)&lt;=F34,"PASS","FAIL")</f>
        <v/>
      </c>
    </row>
    <row r="35">
      <c r="A35" t="inlineStr">
        <is>
          <t>S002-쪽파</t>
        </is>
      </c>
      <c r="B35" t="inlineStr">
        <is>
          <t>월 영업이익 = 공간 대여자 예상수익 + 사업장 영업이익</t>
        </is>
      </c>
      <c r="C35" s="8">
        <f>'요약'!Y15</f>
        <v/>
      </c>
      <c r="D35" s="8">
        <f>'요약'!AA15+'요약'!AC15</f>
        <v/>
      </c>
      <c r="E35" s="8">
        <f>C35-D35</f>
        <v/>
      </c>
      <c r="F35" s="8" t="n">
        <v>0.5</v>
      </c>
      <c r="G35">
        <f>IF(ABS(E35)&lt;=F35,"PASS","FAIL")</f>
        <v/>
      </c>
    </row>
    <row r="36">
      <c r="A36" t="inlineStr">
        <is>
          <t>S002-쪽파</t>
        </is>
      </c>
      <c r="B36" t="inlineStr">
        <is>
          <t>월 총 용수량 = 작물 순소비량 + 배액량 + 기타 용수량</t>
        </is>
      </c>
      <c r="C36" s="16">
        <f>'요약'!R15</f>
        <v/>
      </c>
      <c r="D36" s="16">
        <f>'요약'!O15+'요약'!P15+'요약'!Q15</f>
        <v/>
      </c>
      <c r="E36" s="16">
        <f>C36-D36</f>
        <v/>
      </c>
      <c r="F36" s="16" t="n">
        <v>0.001</v>
      </c>
      <c r="G36">
        <f>IF(ABS(E36)&lt;=F36,"PASS","FAIL")</f>
        <v/>
      </c>
    </row>
    <row r="37">
      <c r="A37" t="inlineStr">
        <is>
          <t>S002-쪽파</t>
        </is>
      </c>
      <c r="B37" t="inlineStr">
        <is>
          <t>월 운영비 = 전기비 + 수도비 + 재료비 + 인건비 + 기기 대여비 + 기타비용</t>
        </is>
      </c>
      <c r="C37" s="8">
        <f>'비용구성'!D15</f>
        <v/>
      </c>
      <c r="D37" s="8">
        <f>'비용구성'!E15+'비용구성'!G15+'비용구성'!I15+'비용구성'!K15+'비용구성'!M15+'비용구성'!O15</f>
        <v/>
      </c>
      <c r="E37" s="8">
        <f>C37-D37</f>
        <v/>
      </c>
      <c r="F37" s="8" t="n">
        <v>0.5</v>
      </c>
      <c r="G37">
        <f>IF(ABS(E37)&lt;=F37,"PASS","FAIL")</f>
        <v/>
      </c>
    </row>
    <row r="38">
      <c r="A38" t="inlineStr">
        <is>
          <t>S002-병풀</t>
        </is>
      </c>
      <c r="B38" t="inlineStr">
        <is>
          <t>월 영업이익 = 공간 대여자 예상수익 + 사업장 영업이익</t>
        </is>
      </c>
      <c r="C38" s="8">
        <f>'요약'!Y16</f>
        <v/>
      </c>
      <c r="D38" s="8">
        <f>'요약'!AA16+'요약'!AC16</f>
        <v/>
      </c>
      <c r="E38" s="8">
        <f>C38-D38</f>
        <v/>
      </c>
      <c r="F38" s="8" t="n">
        <v>0.5</v>
      </c>
      <c r="G38">
        <f>IF(ABS(E38)&lt;=F38,"PASS","FAIL")</f>
        <v/>
      </c>
    </row>
    <row r="39">
      <c r="A39" t="inlineStr">
        <is>
          <t>S002-병풀</t>
        </is>
      </c>
      <c r="B39" t="inlineStr">
        <is>
          <t>월 총 용수량 = 작물 순소비량 + 배액량 + 기타 용수량</t>
        </is>
      </c>
      <c r="C39" s="16">
        <f>'요약'!R16</f>
        <v/>
      </c>
      <c r="D39" s="16">
        <f>'요약'!O16+'요약'!P16+'요약'!Q16</f>
        <v/>
      </c>
      <c r="E39" s="16">
        <f>C39-D39</f>
        <v/>
      </c>
      <c r="F39" s="16" t="n">
        <v>0.001</v>
      </c>
      <c r="G39">
        <f>IF(ABS(E39)&lt;=F39,"PASS","FAIL")</f>
        <v/>
      </c>
    </row>
    <row r="40">
      <c r="A40" t="inlineStr">
        <is>
          <t>S002-병풀</t>
        </is>
      </c>
      <c r="B40" t="inlineStr">
        <is>
          <t>월 운영비 = 전기비 + 수도비 + 재료비 + 인건비 + 기기 대여비 + 기타비용</t>
        </is>
      </c>
      <c r="C40" s="8">
        <f>'비용구성'!D16</f>
        <v/>
      </c>
      <c r="D40" s="8">
        <f>'비용구성'!E16+'비용구성'!G16+'비용구성'!I16+'비용구성'!K16+'비용구성'!M16+'비용구성'!O16</f>
        <v/>
      </c>
      <c r="E40" s="8">
        <f>C40-D40</f>
        <v/>
      </c>
      <c r="F40" s="8" t="n">
        <v>0.5</v>
      </c>
      <c r="G40">
        <f>IF(ABS(E40)&lt;=F40,"PASS","FAIL")</f>
        <v/>
      </c>
    </row>
    <row r="41">
      <c r="A41" t="inlineStr">
        <is>
          <t>S003-상추</t>
        </is>
      </c>
      <c r="B41" t="inlineStr">
        <is>
          <t>월 영업이익 = 공간 대여자 예상수익 + 사업장 영업이익</t>
        </is>
      </c>
      <c r="C41" s="8">
        <f>'요약'!Y17</f>
        <v/>
      </c>
      <c r="D41" s="8">
        <f>'요약'!AA17+'요약'!AC17</f>
        <v/>
      </c>
      <c r="E41" s="8">
        <f>C41-D41</f>
        <v/>
      </c>
      <c r="F41" s="8" t="n">
        <v>0.5</v>
      </c>
      <c r="G41">
        <f>IF(ABS(E41)&lt;=F41,"PASS","FAIL")</f>
        <v/>
      </c>
    </row>
    <row r="42">
      <c r="A42" t="inlineStr">
        <is>
          <t>S003-상추</t>
        </is>
      </c>
      <c r="B42" t="inlineStr">
        <is>
          <t>월 총 용수량 = 작물 순소비량 + 배액량 + 기타 용수량</t>
        </is>
      </c>
      <c r="C42" s="16">
        <f>'요약'!R17</f>
        <v/>
      </c>
      <c r="D42" s="16">
        <f>'요약'!O17+'요약'!P17+'요약'!Q17</f>
        <v/>
      </c>
      <c r="E42" s="16">
        <f>C42-D42</f>
        <v/>
      </c>
      <c r="F42" s="16" t="n">
        <v>0.001</v>
      </c>
      <c r="G42">
        <f>IF(ABS(E42)&lt;=F42,"PASS","FAIL")</f>
        <v/>
      </c>
    </row>
    <row r="43">
      <c r="A43" t="inlineStr">
        <is>
          <t>S003-상추</t>
        </is>
      </c>
      <c r="B43" t="inlineStr">
        <is>
          <t>월 운영비 = 전기비 + 수도비 + 재료비 + 인건비 + 기기 대여비 + 기타비용</t>
        </is>
      </c>
      <c r="C43" s="8">
        <f>'비용구성'!D17</f>
        <v/>
      </c>
      <c r="D43" s="8">
        <f>'비용구성'!E17+'비용구성'!G17+'비용구성'!I17+'비용구성'!K17+'비용구성'!M17+'비용구성'!O17</f>
        <v/>
      </c>
      <c r="E43" s="8">
        <f>C43-D43</f>
        <v/>
      </c>
      <c r="F43" s="8" t="n">
        <v>0.5</v>
      </c>
      <c r="G43">
        <f>IF(ABS(E43)&lt;=F43,"PASS","FAIL")</f>
        <v/>
      </c>
    </row>
    <row r="44">
      <c r="A44" t="inlineStr">
        <is>
          <t>S003-딸기</t>
        </is>
      </c>
      <c r="B44" t="inlineStr">
        <is>
          <t>월 영업이익 = 공간 대여자 예상수익 + 사업장 영업이익</t>
        </is>
      </c>
      <c r="C44" s="8">
        <f>'요약'!Y18</f>
        <v/>
      </c>
      <c r="D44" s="8">
        <f>'요약'!AA18+'요약'!AC18</f>
        <v/>
      </c>
      <c r="E44" s="8">
        <f>C44-D44</f>
        <v/>
      </c>
      <c r="F44" s="8" t="n">
        <v>0.5</v>
      </c>
      <c r="G44">
        <f>IF(ABS(E44)&lt;=F44,"PASS","FAIL")</f>
        <v/>
      </c>
    </row>
    <row r="45">
      <c r="A45" t="inlineStr">
        <is>
          <t>S003-딸기</t>
        </is>
      </c>
      <c r="B45" t="inlineStr">
        <is>
          <t>월 총 용수량 = 작물 순소비량 + 배액량 + 기타 용수량</t>
        </is>
      </c>
      <c r="C45" s="16">
        <f>'요약'!R18</f>
        <v/>
      </c>
      <c r="D45" s="16">
        <f>'요약'!O18+'요약'!P18+'요약'!Q18</f>
        <v/>
      </c>
      <c r="E45" s="16">
        <f>C45-D45</f>
        <v/>
      </c>
      <c r="F45" s="16" t="n">
        <v>0.001</v>
      </c>
      <c r="G45">
        <f>IF(ABS(E45)&lt;=F45,"PASS","FAIL")</f>
        <v/>
      </c>
    </row>
    <row r="46">
      <c r="A46" t="inlineStr">
        <is>
          <t>S003-딸기</t>
        </is>
      </c>
      <c r="B46" t="inlineStr">
        <is>
          <t>월 운영비 = 전기비 + 수도비 + 재료비 + 인건비 + 기기 대여비 + 기타비용</t>
        </is>
      </c>
      <c r="C46" s="8">
        <f>'비용구성'!D18</f>
        <v/>
      </c>
      <c r="D46" s="8">
        <f>'비용구성'!E18+'비용구성'!G18+'비용구성'!I18+'비용구성'!K18+'비용구성'!M18+'비용구성'!O18</f>
        <v/>
      </c>
      <c r="E46" s="8">
        <f>C46-D46</f>
        <v/>
      </c>
      <c r="F46" s="8" t="n">
        <v>0.5</v>
      </c>
      <c r="G46">
        <f>IF(ABS(E46)&lt;=F46,"PASS","FAIL")</f>
        <v/>
      </c>
    </row>
    <row r="47">
      <c r="A47" t="inlineStr">
        <is>
          <t>S003-바질</t>
        </is>
      </c>
      <c r="B47" t="inlineStr">
        <is>
          <t>월 영업이익 = 공간 대여자 예상수익 + 사업장 영업이익</t>
        </is>
      </c>
      <c r="C47" s="8">
        <f>'요약'!Y19</f>
        <v/>
      </c>
      <c r="D47" s="8">
        <f>'요약'!AA19+'요약'!AC19</f>
        <v/>
      </c>
      <c r="E47" s="8">
        <f>C47-D47</f>
        <v/>
      </c>
      <c r="F47" s="8" t="n">
        <v>0.5</v>
      </c>
      <c r="G47">
        <f>IF(ABS(E47)&lt;=F47,"PASS","FAIL")</f>
        <v/>
      </c>
    </row>
    <row r="48">
      <c r="A48" t="inlineStr">
        <is>
          <t>S003-바질</t>
        </is>
      </c>
      <c r="B48" t="inlineStr">
        <is>
          <t>월 총 용수량 = 작물 순소비량 + 배액량 + 기타 용수량</t>
        </is>
      </c>
      <c r="C48" s="16">
        <f>'요약'!R19</f>
        <v/>
      </c>
      <c r="D48" s="16">
        <f>'요약'!O19+'요약'!P19+'요약'!Q19</f>
        <v/>
      </c>
      <c r="E48" s="16">
        <f>C48-D48</f>
        <v/>
      </c>
      <c r="F48" s="16" t="n">
        <v>0.001</v>
      </c>
      <c r="G48">
        <f>IF(ABS(E48)&lt;=F48,"PASS","FAIL")</f>
        <v/>
      </c>
    </row>
    <row r="49">
      <c r="A49" t="inlineStr">
        <is>
          <t>S003-바질</t>
        </is>
      </c>
      <c r="B49" t="inlineStr">
        <is>
          <t>월 운영비 = 전기비 + 수도비 + 재료비 + 인건비 + 기기 대여비 + 기타비용</t>
        </is>
      </c>
      <c r="C49" s="8">
        <f>'비용구성'!D19</f>
        <v/>
      </c>
      <c r="D49" s="8">
        <f>'비용구성'!E19+'비용구성'!G19+'비용구성'!I19+'비용구성'!K19+'비용구성'!M19+'비용구성'!O19</f>
        <v/>
      </c>
      <c r="E49" s="8">
        <f>C49-D49</f>
        <v/>
      </c>
      <c r="F49" s="8" t="n">
        <v>0.5</v>
      </c>
      <c r="G49">
        <f>IF(ABS(E49)&lt;=F49,"PASS","FAIL")</f>
        <v/>
      </c>
    </row>
    <row r="50">
      <c r="A50" t="inlineStr">
        <is>
          <t>S003-애플민트</t>
        </is>
      </c>
      <c r="B50" t="inlineStr">
        <is>
          <t>월 영업이익 = 공간 대여자 예상수익 + 사업장 영업이익</t>
        </is>
      </c>
      <c r="C50" s="8">
        <f>'요약'!Y20</f>
        <v/>
      </c>
      <c r="D50" s="8">
        <f>'요약'!AA20+'요약'!AC20</f>
        <v/>
      </c>
      <c r="E50" s="8">
        <f>C50-D50</f>
        <v/>
      </c>
      <c r="F50" s="8" t="n">
        <v>0.5</v>
      </c>
      <c r="G50">
        <f>IF(ABS(E50)&lt;=F50,"PASS","FAIL")</f>
        <v/>
      </c>
    </row>
    <row r="51">
      <c r="A51" t="inlineStr">
        <is>
          <t>S003-애플민트</t>
        </is>
      </c>
      <c r="B51" t="inlineStr">
        <is>
          <t>월 총 용수량 = 작물 순소비량 + 배액량 + 기타 용수량</t>
        </is>
      </c>
      <c r="C51" s="16">
        <f>'요약'!R20</f>
        <v/>
      </c>
      <c r="D51" s="16">
        <f>'요약'!O20+'요약'!P20+'요약'!Q20</f>
        <v/>
      </c>
      <c r="E51" s="16">
        <f>C51-D51</f>
        <v/>
      </c>
      <c r="F51" s="16" t="n">
        <v>0.001</v>
      </c>
      <c r="G51">
        <f>IF(ABS(E51)&lt;=F51,"PASS","FAIL")</f>
        <v/>
      </c>
    </row>
    <row r="52">
      <c r="A52" t="inlineStr">
        <is>
          <t>S003-애플민트</t>
        </is>
      </c>
      <c r="B52" t="inlineStr">
        <is>
          <t>월 운영비 = 전기비 + 수도비 + 재료비 + 인건비 + 기기 대여비 + 기타비용</t>
        </is>
      </c>
      <c r="C52" s="8">
        <f>'비용구성'!D20</f>
        <v/>
      </c>
      <c r="D52" s="8">
        <f>'비용구성'!E20+'비용구성'!G20+'비용구성'!I20+'비용구성'!K20+'비용구성'!M20+'비용구성'!O20</f>
        <v/>
      </c>
      <c r="E52" s="8">
        <f>C52-D52</f>
        <v/>
      </c>
      <c r="F52" s="8" t="n">
        <v>0.5</v>
      </c>
      <c r="G52">
        <f>IF(ABS(E52)&lt;=F52,"PASS","FAIL")</f>
        <v/>
      </c>
    </row>
    <row r="53">
      <c r="A53" t="inlineStr">
        <is>
          <t>S003-쪽파</t>
        </is>
      </c>
      <c r="B53" t="inlineStr">
        <is>
          <t>월 영업이익 = 공간 대여자 예상수익 + 사업장 영업이익</t>
        </is>
      </c>
      <c r="C53" s="8">
        <f>'요약'!Y21</f>
        <v/>
      </c>
      <c r="D53" s="8">
        <f>'요약'!AA21+'요약'!AC21</f>
        <v/>
      </c>
      <c r="E53" s="8">
        <f>C53-D53</f>
        <v/>
      </c>
      <c r="F53" s="8" t="n">
        <v>0.5</v>
      </c>
      <c r="G53">
        <f>IF(ABS(E53)&lt;=F53,"PASS","FAIL")</f>
        <v/>
      </c>
    </row>
    <row r="54">
      <c r="A54" t="inlineStr">
        <is>
          <t>S003-쪽파</t>
        </is>
      </c>
      <c r="B54" t="inlineStr">
        <is>
          <t>월 총 용수량 = 작물 순소비량 + 배액량 + 기타 용수량</t>
        </is>
      </c>
      <c r="C54" s="16">
        <f>'요약'!R21</f>
        <v/>
      </c>
      <c r="D54" s="16">
        <f>'요약'!O21+'요약'!P21+'요약'!Q21</f>
        <v/>
      </c>
      <c r="E54" s="16">
        <f>C54-D54</f>
        <v/>
      </c>
      <c r="F54" s="16" t="n">
        <v>0.001</v>
      </c>
      <c r="G54">
        <f>IF(ABS(E54)&lt;=F54,"PASS","FAIL")</f>
        <v/>
      </c>
    </row>
    <row r="55">
      <c r="A55" t="inlineStr">
        <is>
          <t>S003-쪽파</t>
        </is>
      </c>
      <c r="B55" t="inlineStr">
        <is>
          <t>월 운영비 = 전기비 + 수도비 + 재료비 + 인건비 + 기기 대여비 + 기타비용</t>
        </is>
      </c>
      <c r="C55" s="8">
        <f>'비용구성'!D21</f>
        <v/>
      </c>
      <c r="D55" s="8">
        <f>'비용구성'!E21+'비용구성'!G21+'비용구성'!I21+'비용구성'!K21+'비용구성'!M21+'비용구성'!O21</f>
        <v/>
      </c>
      <c r="E55" s="8">
        <f>C55-D55</f>
        <v/>
      </c>
      <c r="F55" s="8" t="n">
        <v>0.5</v>
      </c>
      <c r="G55">
        <f>IF(ABS(E55)&lt;=F55,"PASS","FAIL")</f>
        <v/>
      </c>
    </row>
    <row r="56">
      <c r="A56" t="inlineStr">
        <is>
          <t>S003-병풀</t>
        </is>
      </c>
      <c r="B56" t="inlineStr">
        <is>
          <t>월 영업이익 = 공간 대여자 예상수익 + 사업장 영업이익</t>
        </is>
      </c>
      <c r="C56" s="8">
        <f>'요약'!Y22</f>
        <v/>
      </c>
      <c r="D56" s="8">
        <f>'요약'!AA22+'요약'!AC22</f>
        <v/>
      </c>
      <c r="E56" s="8">
        <f>C56-D56</f>
        <v/>
      </c>
      <c r="F56" s="8" t="n">
        <v>0.5</v>
      </c>
      <c r="G56">
        <f>IF(ABS(E56)&lt;=F56,"PASS","FAIL")</f>
        <v/>
      </c>
    </row>
    <row r="57">
      <c r="A57" t="inlineStr">
        <is>
          <t>S003-병풀</t>
        </is>
      </c>
      <c r="B57" t="inlineStr">
        <is>
          <t>월 총 용수량 = 작물 순소비량 + 배액량 + 기타 용수량</t>
        </is>
      </c>
      <c r="C57" s="16">
        <f>'요약'!R22</f>
        <v/>
      </c>
      <c r="D57" s="16">
        <f>'요약'!O22+'요약'!P22+'요약'!Q22</f>
        <v/>
      </c>
      <c r="E57" s="16">
        <f>C57-D57</f>
        <v/>
      </c>
      <c r="F57" s="16" t="n">
        <v>0.001</v>
      </c>
      <c r="G57">
        <f>IF(ABS(E57)&lt;=F57,"PASS","FAIL")</f>
        <v/>
      </c>
    </row>
    <row r="58">
      <c r="A58" t="inlineStr">
        <is>
          <t>S003-병풀</t>
        </is>
      </c>
      <c r="B58" t="inlineStr">
        <is>
          <t>월 운영비 = 전기비 + 수도비 + 재료비 + 인건비 + 기기 대여비 + 기타비용</t>
        </is>
      </c>
      <c r="C58" s="8">
        <f>'비용구성'!D22</f>
        <v/>
      </c>
      <c r="D58" s="8">
        <f>'비용구성'!E22+'비용구성'!G22+'비용구성'!I22+'비용구성'!K22+'비용구성'!M22+'비용구성'!O22</f>
        <v/>
      </c>
      <c r="E58" s="8">
        <f>C58-D58</f>
        <v/>
      </c>
      <c r="F58" s="8" t="n">
        <v>0.5</v>
      </c>
      <c r="G58">
        <f>IF(ABS(E58)&lt;=F58,"PASS","FAIL")</f>
        <v/>
      </c>
    </row>
  </sheetData>
  <mergeCells count="1">
    <mergeCell ref="A1:G1"/>
  </mergeCells>
  <conditionalFormatting sqref="G5:G58">
    <cfRule type="expression" priority="1" dxfId="1">
      <formula>$G5="PASS"</formula>
    </cfRule>
    <cfRule type="expression" priority="2" dxfId="0">
      <formula>$G5="FAIL"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2026-08-23T12:42:44Z</dcterms:created>
  <dcterms:modified xmlns:dcterms="http://purl.org/dc/terms/" xmlns:xsi="http://www.w3.org/2001/XMLSchema-instance" xsi:type="dcterms:W3CDTF">2026-08-23T12:42:44Z</dcterms:modified>
</cp:coreProperties>
</file>